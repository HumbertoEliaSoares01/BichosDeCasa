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D2BF66F9-D7BA-41A3-8913-874979751B6D}" xr6:coauthVersionLast="36" xr6:coauthVersionMax="36" xr10:uidLastSave="{00000000-0000-0000-0000-000000000000}"/>
  <bookViews>
    <workbookView xWindow="0" yWindow="0" windowWidth="14370" windowHeight="3840" activeTab="3" xr2:uid="{0FF26368-0124-41AC-ABBE-7DCA2B31386A}"/>
  </bookViews>
  <sheets>
    <sheet name="galinhas" sheetId="1" r:id="rId1"/>
    <sheet name="criando" sheetId="2" r:id="rId2"/>
    <sheet name="chocando" sheetId="3" r:id="rId3"/>
    <sheet name="Planilha1" sheetId="5" r:id="rId4"/>
    <sheet name="botando" sheetId="4" r:id="rId5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5" l="1"/>
  <c r="D5" i="5"/>
  <c r="D6" i="5"/>
  <c r="D7" i="5"/>
  <c r="D8" i="5"/>
  <c r="D9" i="5"/>
  <c r="D4" i="5"/>
  <c r="G13" i="5" l="1"/>
  <c r="I27" i="3"/>
  <c r="G27" i="3"/>
  <c r="I21" i="2"/>
  <c r="G21" i="2"/>
  <c r="I26" i="3" l="1"/>
  <c r="G26" i="3"/>
  <c r="I25" i="3" l="1"/>
  <c r="G25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35" i="3"/>
  <c r="I35" i="3"/>
  <c r="I34" i="3" l="1"/>
  <c r="G34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  <c r="G14" i="5" l="1"/>
  <c r="G15" i="5" s="1"/>
</calcChain>
</file>

<file path=xl/sharedStrings.xml><?xml version="1.0" encoding="utf-8"?>
<sst xmlns="http://schemas.openxmlformats.org/spreadsheetml/2006/main" count="446" uniqueCount="110">
  <si>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</si>
  <si>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</si>
  <si>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</si>
  <si>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</si>
  <si>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</si>
  <si>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</si>
  <si>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</si>
  <si>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</si>
  <si>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</si>
  <si>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</si>
  <si>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</si>
  <si>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</si>
  <si>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</si>
  <si>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</si>
  <si>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</si>
  <si>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</si>
  <si>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</si>
  <si>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</si>
  <si>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</si>
  <si>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</si>
  <si>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</si>
  <si>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</si>
  <si>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</si>
  <si>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</si>
  <si>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</si>
  <si>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</si>
  <si>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</si>
  <si>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</si>
  <si>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</si>
  <si>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</si>
  <si>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</si>
  <si>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</si>
  <si>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</si>
  <si>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</si>
  <si>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</si>
  <si>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</si>
  <si>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</si>
  <si>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</si>
  <si>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</si>
  <si>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</si>
  <si>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</si>
  <si>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</si>
  <si>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</si>
  <si>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</si>
  <si>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</si>
  <si>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</si>
  <si>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</si>
  <si>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</si>
  <si>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</si>
  <si>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</si>
  <si>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</si>
  <si>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</si>
  <si>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</si>
  <si>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</si>
  <si>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</si>
  <si>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</si>
  <si>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</si>
  <si>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</si>
  <si>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</si>
  <si>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</si>
  <si>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</si>
  <si>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</si>
  <si>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</si>
  <si>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</si>
  <si>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</si>
  <si>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</si>
  <si>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</si>
  <si>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</si>
  <si>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</si>
  <si>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</si>
  <si>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</si>
  <si>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</si>
  <si>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</si>
  <si>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</si>
  <si>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</si>
  <si>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</si>
  <si>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</si>
  <si>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</si>
  <si>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</si>
  <si>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</si>
  <si>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</si>
  <si>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</si>
  <si>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</si>
  <si>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</si>
  <si>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</si>
  <si>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</si>
  <si>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</si>
  <si>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</si>
  <si>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</si>
  <si>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</si>
  <si>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</si>
  <si>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</si>
  <si>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</si>
  <si>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</si>
  <si>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</si>
  <si>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</si>
  <si>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</si>
  <si>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</si>
  <si>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</si>
  <si>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</si>
  <si>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</si>
  <si>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</si>
  <si>
    <t>frango</t>
  </si>
  <si>
    <t>galinha</t>
  </si>
  <si>
    <t>frangos</t>
  </si>
  <si>
    <t>galo</t>
  </si>
  <si>
    <t>TOTAL</t>
  </si>
  <si>
    <t>Cabeças</t>
  </si>
  <si>
    <t>desconto 25%</t>
  </si>
  <si>
    <t>TOTAL c/ descoto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</si>
</sst>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14" fontId="4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164" fontId="0" fillId="0" borderId="0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46320</v>
      </c>
      <c r="D1" s="41">
        <f>SUM(I32:I43)</f>
        <v>33</v>
      </c>
      <c r="E1" s="42" t="s">
        <v>58</v>
      </c>
      <c r="G1" s="53" t="s">
        <v>74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46320</v>
      </c>
      <c r="F11" s="15">
        <f t="shared" ref="F11:F18" ca="1" si="3">E11-D11</f>
        <v>513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46320</v>
      </c>
      <c r="F15" s="17">
        <f t="shared" ca="1" si="3"/>
        <v>513</v>
      </c>
      <c r="G15" s="17">
        <v>14</v>
      </c>
      <c r="H15" s="22">
        <f t="shared" ca="1" si="1"/>
        <v>2.7290448343079921E-2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46320</v>
      </c>
      <c r="F19" s="12">
        <f t="shared" ref="F19:F20" ca="1" si="4">E19-D19</f>
        <v>442</v>
      </c>
      <c r="G19" s="15">
        <v>15</v>
      </c>
      <c r="H19" s="14">
        <f ca="1">G19/F19</f>
        <v>3.3936651583710405E-2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-410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-410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46320</v>
      </c>
      <c r="F24" s="19">
        <f ca="1">E24-D24</f>
        <v>416</v>
      </c>
      <c r="G24" s="19">
        <v>3</v>
      </c>
      <c r="H24" s="14">
        <f ca="1">G24/F24</f>
        <v>7.2115384615384619E-3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46320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46320</v>
      </c>
      <c r="F26" s="19">
        <f ca="1">E26-D26</f>
        <v>416</v>
      </c>
      <c r="G26" s="19">
        <v>3</v>
      </c>
      <c r="H26" s="14">
        <f t="shared" ca="1" si="7"/>
        <v>7.2115384615384619E-3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46320</v>
      </c>
      <c r="F27" s="19">
        <f ca="1">E27-D27</f>
        <v>416</v>
      </c>
      <c r="G27" s="19">
        <v>3</v>
      </c>
      <c r="H27" s="14">
        <f t="shared" ref="H27" ca="1" si="8">G27/F27</f>
        <v>7.2115384615384619E-3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46320</v>
      </c>
      <c r="E41" s="37">
        <v>45910</v>
      </c>
      <c r="F41" s="28">
        <f ca="1">D41-E41</f>
        <v>410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46320</v>
      </c>
      <c r="E42" s="18">
        <v>45947</v>
      </c>
      <c r="F42" s="17">
        <f ca="1">D42-E42</f>
        <v>373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46320</v>
      </c>
      <c r="E43" s="18">
        <v>45953</v>
      </c>
      <c r="F43" s="17">
        <f t="shared" ref="F43:F44" ca="1" si="9">D43-E43</f>
        <v>367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46320</v>
      </c>
      <c r="E44" s="18">
        <v>45956</v>
      </c>
      <c r="F44" s="17">
        <f t="shared" ca="1" si="9"/>
        <v>364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46320</v>
      </c>
      <c r="F46" s="19">
        <f ca="1">E46-D46</f>
        <v>511</v>
      </c>
      <c r="G46" s="19" t="s">
        <v>71</v>
      </c>
      <c r="H46" s="54">
        <f ca="1">F46*2</f>
        <v>1022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46320</v>
      </c>
      <c r="F47" s="19">
        <f t="shared" ref="F47:F48" ca="1" si="11">E47-D47</f>
        <v>377</v>
      </c>
      <c r="G47" s="19" t="s">
        <v>71</v>
      </c>
      <c r="H47" s="54">
        <f t="shared" ref="H47:H48" ca="1" si="12">F47*2</f>
        <v>754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46320</v>
      </c>
      <c r="F48" s="19">
        <f t="shared" ca="1" si="11"/>
        <v>359</v>
      </c>
      <c r="G48" s="19" t="s">
        <v>71</v>
      </c>
      <c r="H48" s="54">
        <f t="shared" ca="1" si="12"/>
        <v>718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46320</v>
      </c>
      <c r="E51" s="18">
        <v>46027</v>
      </c>
      <c r="F51" s="17">
        <f ca="1">D51-E51</f>
        <v>293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11" activePane="bottomLeft" state="frozen"/>
      <selection pane="bottomLeft" activeCell="C21" sqref="A21:XFD21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46320</v>
      </c>
      <c r="F1" s="46"/>
      <c r="G1" s="46"/>
      <c r="H1" s="49">
        <f>SUM(K7:K10)</f>
        <v>13</v>
      </c>
      <c r="I1" s="49" t="s">
        <v>68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6" t="s">
        <v>93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46320</v>
      </c>
      <c r="G3" s="65">
        <v>45947</v>
      </c>
      <c r="H3" s="64">
        <f t="shared" ref="H3:H8" ca="1" si="0">F3-G3</f>
        <v>373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46320</v>
      </c>
      <c r="G4" s="65">
        <v>45953</v>
      </c>
      <c r="H4" s="64">
        <f t="shared" ca="1" si="0"/>
        <v>367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46320</v>
      </c>
      <c r="G5" s="65">
        <v>45956</v>
      </c>
      <c r="H5" s="64">
        <f t="shared" ca="1" si="0"/>
        <v>364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46320</v>
      </c>
      <c r="G6" s="68">
        <v>45910</v>
      </c>
      <c r="H6" s="67">
        <f t="shared" ca="1" si="0"/>
        <v>410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46320</v>
      </c>
      <c r="G7" s="65">
        <v>46027</v>
      </c>
      <c r="H7" s="64">
        <f t="shared" ca="1" si="0"/>
        <v>293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46320</v>
      </c>
      <c r="G8" s="72">
        <v>46036</v>
      </c>
      <c r="H8" s="71">
        <f t="shared" ca="1" si="0"/>
        <v>284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80</v>
      </c>
      <c r="C9" s="71" t="s">
        <v>80</v>
      </c>
      <c r="D9" s="71" t="s">
        <v>81</v>
      </c>
      <c r="E9" s="71" t="s">
        <v>29</v>
      </c>
      <c r="F9" s="72">
        <f t="shared" ca="1" si="2"/>
        <v>46320</v>
      </c>
      <c r="G9" s="72">
        <v>46082</v>
      </c>
      <c r="H9" s="71">
        <f ca="1">F9-G9</f>
        <v>238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46320</v>
      </c>
      <c r="G10" s="18">
        <v>46089</v>
      </c>
      <c r="H10" s="17">
        <f t="shared" ref="H10:H17" ca="1" si="3">F10-G10</f>
        <v>231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46320</v>
      </c>
      <c r="G11" s="70">
        <v>46129</v>
      </c>
      <c r="H11" s="17">
        <f t="shared" ca="1" si="3"/>
        <v>191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84</v>
      </c>
      <c r="D12" s="69" t="s">
        <v>85</v>
      </c>
      <c r="E12" s="69" t="s">
        <v>34</v>
      </c>
      <c r="F12" s="18">
        <f t="shared" ca="1" si="2"/>
        <v>46320</v>
      </c>
      <c r="G12" s="70">
        <v>46129</v>
      </c>
      <c r="H12" s="17">
        <f t="shared" ca="1" si="3"/>
        <v>191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88</v>
      </c>
      <c r="D13" s="71" t="s">
        <v>89</v>
      </c>
      <c r="E13" s="71" t="s">
        <v>29</v>
      </c>
      <c r="F13" s="72">
        <f t="shared" ca="1" si="2"/>
        <v>46320</v>
      </c>
      <c r="G13" s="72">
        <v>46182</v>
      </c>
      <c r="H13" s="71">
        <f t="shared" ca="1" si="3"/>
        <v>138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90</v>
      </c>
      <c r="D14" s="71" t="s">
        <v>91</v>
      </c>
      <c r="E14" s="71" t="s">
        <v>34</v>
      </c>
      <c r="F14" s="72">
        <f t="shared" ca="1" si="2"/>
        <v>46320</v>
      </c>
      <c r="G14" s="72">
        <v>46184</v>
      </c>
      <c r="H14" s="71">
        <f t="shared" ca="1" si="3"/>
        <v>136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46320</v>
      </c>
      <c r="G15" s="18">
        <v>46216</v>
      </c>
      <c r="H15" s="17">
        <f t="shared" ca="1" si="3"/>
        <v>104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96</v>
      </c>
      <c r="D16" s="71" t="s">
        <v>97</v>
      </c>
      <c r="E16" s="71" t="s">
        <v>29</v>
      </c>
      <c r="F16" s="72">
        <f ca="1">TODAY()</f>
        <v>46320</v>
      </c>
      <c r="G16" s="72">
        <f t="shared" ref="G16" ca="1" si="4">TODAY()</f>
        <v>46320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46320</v>
      </c>
      <c r="G17" s="18">
        <v>46271</v>
      </c>
      <c r="H17" s="17">
        <f t="shared" ca="1" si="3"/>
        <v>49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/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1" spans="1:13" s="82" customFormat="1" x14ac:dyDescent="0.25">
      <c r="B21" s="82" t="s">
        <v>9</v>
      </c>
      <c r="C21" s="82" t="s">
        <v>10</v>
      </c>
      <c r="D21" s="82" t="s">
        <v>29</v>
      </c>
      <c r="E21" s="83">
        <v>46290</v>
      </c>
      <c r="F21" s="83">
        <v>46311</v>
      </c>
      <c r="G21" s="82">
        <f>F21-E21</f>
        <v>21</v>
      </c>
      <c r="H21" s="82">
        <v>12</v>
      </c>
      <c r="I21" s="82">
        <f>J21/H21</f>
        <v>0</v>
      </c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35"/>
  <sheetViews>
    <sheetView topLeftCell="C1" workbookViewId="0">
      <pane ySplit="2" topLeftCell="A18" activePane="bottomLeft" state="frozen"/>
      <selection pane="bottomLeft" activeCell="J27" sqref="J27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21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46320</v>
      </c>
      <c r="E1" s="46"/>
      <c r="F1" s="46"/>
      <c r="G1" s="52" t="e">
        <f>AVERAGE(I:I)</f>
        <v>#REF!</v>
      </c>
      <c r="H1" s="49" t="s">
        <v>73</v>
      </c>
    </row>
    <row r="2" spans="1:10" s="55" customFormat="1" ht="18.75" x14ac:dyDescent="0.25">
      <c r="A2" s="55" t="s">
        <v>59</v>
      </c>
      <c r="B2" s="56" t="s">
        <v>60</v>
      </c>
      <c r="C2" s="56" t="s">
        <v>67</v>
      </c>
      <c r="D2" s="55" t="s">
        <v>66</v>
      </c>
      <c r="E2" s="56" t="s">
        <v>69</v>
      </c>
      <c r="F2" s="56" t="s">
        <v>62</v>
      </c>
      <c r="G2" s="55" t="s">
        <v>70</v>
      </c>
      <c r="H2" s="55" t="s">
        <v>71</v>
      </c>
      <c r="I2" s="55" t="s">
        <v>72</v>
      </c>
      <c r="J2" s="55" t="s">
        <v>68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78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84</v>
      </c>
      <c r="C10" s="64" t="s">
        <v>85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86</v>
      </c>
      <c r="C11" s="64" t="s">
        <v>87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88</v>
      </c>
      <c r="C14" s="77" t="s">
        <v>89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77">
        <f>J14/H14</f>
        <v>0.33333333333333331</v>
      </c>
      <c r="J14" s="77">
        <v>4</v>
      </c>
    </row>
    <row r="15" spans="1:10" s="77" customFormat="1" x14ac:dyDescent="0.25">
      <c r="B15" s="77" t="s">
        <v>90</v>
      </c>
      <c r="C15" s="77" t="s">
        <v>91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77" t="s">
        <v>92</v>
      </c>
    </row>
    <row r="16" spans="1:10" s="77" customFormat="1" x14ac:dyDescent="0.25">
      <c r="B16" s="77" t="s">
        <v>90</v>
      </c>
      <c r="C16" s="77" t="s">
        <v>91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77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77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95</v>
      </c>
      <c r="C18" s="77" t="s">
        <v>94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77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>F20-E20</f>
        <v>24</v>
      </c>
      <c r="H20" s="77">
        <v>12</v>
      </c>
      <c r="I20" s="77">
        <f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>F21-E21</f>
        <v>22</v>
      </c>
      <c r="H21" s="77">
        <v>12</v>
      </c>
      <c r="I21" s="77">
        <f>J21/H21</f>
        <v>0.58333333333333337</v>
      </c>
      <c r="J21" s="77">
        <v>7</v>
      </c>
    </row>
    <row r="22" spans="1:11" s="77" customFormat="1" x14ac:dyDescent="0.25">
      <c r="B22" s="77" t="s">
        <v>84</v>
      </c>
      <c r="C22" s="77" t="s">
        <v>85</v>
      </c>
      <c r="D22" s="77" t="s">
        <v>34</v>
      </c>
      <c r="E22" s="79" t="s">
        <v>98</v>
      </c>
      <c r="F22" s="79">
        <f ca="1">TODAY()</f>
        <v>46320</v>
      </c>
      <c r="G22" s="77" t="e">
        <f ca="1">F22-E22</f>
        <v>#VALUE!</v>
      </c>
      <c r="I22" s="77" t="e">
        <f>J22/H22</f>
        <v>#DIV/0!</v>
      </c>
    </row>
    <row r="23" spans="1:11" s="77" customFormat="1" x14ac:dyDescent="0.25">
      <c r="B23" s="77" t="s">
        <v>96</v>
      </c>
      <c r="C23" s="77" t="s">
        <v>97</v>
      </c>
      <c r="D23" s="77" t="s">
        <v>29</v>
      </c>
      <c r="E23" s="79">
        <v>46237</v>
      </c>
      <c r="F23" s="79">
        <v>46260</v>
      </c>
      <c r="G23" s="77">
        <f>F23-E23</f>
        <v>23</v>
      </c>
      <c r="H23" s="77">
        <v>10</v>
      </c>
      <c r="I23" s="77">
        <f>J23/H23</f>
        <v>0.6</v>
      </c>
      <c r="J23" s="77">
        <v>6</v>
      </c>
    </row>
    <row r="25" spans="1:11" s="78" customFormat="1" x14ac:dyDescent="0.25">
      <c r="B25" s="78" t="s">
        <v>100</v>
      </c>
      <c r="C25" s="78" t="s">
        <v>101</v>
      </c>
      <c r="D25" s="78" t="s">
        <v>29</v>
      </c>
      <c r="E25" s="80">
        <v>46291</v>
      </c>
      <c r="F25" s="80">
        <v>46312</v>
      </c>
      <c r="G25" s="78">
        <f>F25-E25</f>
        <v>21</v>
      </c>
      <c r="H25" s="78">
        <v>12</v>
      </c>
      <c r="I25" s="78">
        <f>J25/H25</f>
        <v>0</v>
      </c>
    </row>
    <row r="26" spans="1:11" s="78" customFormat="1" x14ac:dyDescent="0.25">
      <c r="A26" s="78" t="s">
        <v>18</v>
      </c>
      <c r="B26" s="78" t="s">
        <v>95</v>
      </c>
      <c r="C26" s="78" t="s">
        <v>94</v>
      </c>
      <c r="D26" s="78" t="s">
        <v>34</v>
      </c>
      <c r="E26" s="80">
        <v>46297</v>
      </c>
      <c r="F26" s="80">
        <v>46318</v>
      </c>
      <c r="G26" s="78">
        <f>F26-E26</f>
        <v>21</v>
      </c>
      <c r="H26" s="78">
        <v>12</v>
      </c>
      <c r="I26" s="78">
        <f>J26/H26</f>
        <v>0</v>
      </c>
    </row>
    <row r="27" spans="1:11" s="78" customFormat="1" x14ac:dyDescent="0.25">
      <c r="B27" s="78" t="s">
        <v>80</v>
      </c>
      <c r="C27" s="78" t="s">
        <v>81</v>
      </c>
      <c r="D27" s="78" t="s">
        <v>29</v>
      </c>
      <c r="E27" s="80">
        <v>46316</v>
      </c>
      <c r="F27" s="80">
        <v>46337</v>
      </c>
      <c r="G27" s="78">
        <f>F27-E27</f>
        <v>21</v>
      </c>
      <c r="H27" s="78">
        <v>12</v>
      </c>
      <c r="I27" s="78">
        <f>J27/H27</f>
        <v>0</v>
      </c>
    </row>
    <row r="28" spans="1:11" s="78" customFormat="1" x14ac:dyDescent="0.25">
      <c r="E28" s="80"/>
      <c r="F28" s="80"/>
    </row>
    <row r="29" spans="1:11" s="78" customFormat="1" x14ac:dyDescent="0.25">
      <c r="E29" s="80"/>
      <c r="F29" s="80"/>
    </row>
    <row r="30" spans="1:11" s="78" customFormat="1" x14ac:dyDescent="0.25">
      <c r="E30" s="80"/>
      <c r="F30" s="80"/>
    </row>
    <row r="31" spans="1:11" s="78" customFormat="1" x14ac:dyDescent="0.25">
      <c r="E31" s="80"/>
      <c r="F31" s="80"/>
    </row>
    <row r="32" spans="1:11" s="30" customFormat="1" x14ac:dyDescent="0.25">
      <c r="A32" s="30" t="s">
        <v>79</v>
      </c>
      <c r="B32" s="30" t="s">
        <v>31</v>
      </c>
      <c r="C32" s="30" t="s">
        <v>42</v>
      </c>
      <c r="D32" s="31" t="s">
        <v>78</v>
      </c>
      <c r="E32" s="31">
        <v>45996</v>
      </c>
      <c r="F32" s="31"/>
      <c r="I32" s="32"/>
    </row>
    <row r="34" spans="1:10" s="61" customFormat="1" x14ac:dyDescent="0.25">
      <c r="A34" s="58"/>
      <c r="B34" s="61" t="s">
        <v>80</v>
      </c>
      <c r="C34" s="61" t="s">
        <v>81</v>
      </c>
      <c r="D34" s="61" t="s">
        <v>29</v>
      </c>
      <c r="E34" s="62">
        <v>46060</v>
      </c>
      <c r="F34" s="62">
        <v>46081</v>
      </c>
      <c r="G34" s="61">
        <f>F34-E34</f>
        <v>21</v>
      </c>
      <c r="H34" s="61">
        <v>12</v>
      </c>
      <c r="I34" s="63">
        <f>J34/H34</f>
        <v>0.83333333333333337</v>
      </c>
      <c r="J34" s="61">
        <v>10</v>
      </c>
    </row>
    <row r="35" spans="1:10" s="61" customFormat="1" x14ac:dyDescent="0.25">
      <c r="B35" s="61" t="s">
        <v>7</v>
      </c>
      <c r="C35" s="61" t="s">
        <v>8</v>
      </c>
      <c r="D35" s="61" t="s">
        <v>29</v>
      </c>
      <c r="E35" s="62">
        <v>46067</v>
      </c>
      <c r="F35" s="62">
        <v>46088</v>
      </c>
      <c r="G35" s="61">
        <f>F35-E35</f>
        <v>21</v>
      </c>
      <c r="H35" s="61">
        <v>12</v>
      </c>
      <c r="I35" s="63">
        <f>J35/H35</f>
        <v>0.41666666666666669</v>
      </c>
      <c r="J35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435F-C97E-4183-A722-401AF44A76BE}">
  <dimension ref="A4:G15"/>
  <sheetViews>
    <sheetView tabSelected="1" workbookViewId="0">
      <selection activeCell="C12" sqref="C12"/>
    </sheetView>
  </sheetViews>
  <sheetFormatPr defaultRowHeight="15" x14ac:dyDescent="0.25"/>
  <cols>
    <col min="1" max="2" width="9.140625" style="84"/>
    <col min="3" max="3" width="9.140625" style="85"/>
    <col min="4" max="4" width="11.5703125" style="84" customWidth="1"/>
    <col min="5" max="6" width="9.140625" style="84"/>
    <col min="7" max="7" width="13.42578125" style="84" customWidth="1"/>
    <col min="8" max="16384" width="9.140625" style="84"/>
  </cols>
  <sheetData>
    <row r="4" spans="1:7" x14ac:dyDescent="0.25">
      <c r="A4" s="84">
        <v>1</v>
      </c>
      <c r="B4" s="84" t="s">
        <v>102</v>
      </c>
      <c r="C4" s="85">
        <v>50</v>
      </c>
      <c r="D4" s="85">
        <f>C4*A4</f>
        <v>50</v>
      </c>
    </row>
    <row r="5" spans="1:7" x14ac:dyDescent="0.25">
      <c r="A5" s="84">
        <v>1</v>
      </c>
      <c r="B5" s="84" t="s">
        <v>103</v>
      </c>
      <c r="C5" s="85">
        <v>50</v>
      </c>
      <c r="D5" s="85">
        <f t="shared" ref="D5:D9" si="0">C5*A5</f>
        <v>50</v>
      </c>
    </row>
    <row r="6" spans="1:7" x14ac:dyDescent="0.25">
      <c r="A6" s="84">
        <v>2</v>
      </c>
      <c r="B6" s="84" t="s">
        <v>104</v>
      </c>
      <c r="C6" s="85">
        <v>35</v>
      </c>
      <c r="D6" s="85">
        <f t="shared" si="0"/>
        <v>70</v>
      </c>
    </row>
    <row r="7" spans="1:7" x14ac:dyDescent="0.25">
      <c r="A7" s="84">
        <v>5</v>
      </c>
      <c r="B7" s="84" t="s">
        <v>104</v>
      </c>
      <c r="C7" s="85">
        <v>30</v>
      </c>
      <c r="D7" s="85">
        <f t="shared" si="0"/>
        <v>150</v>
      </c>
    </row>
    <row r="8" spans="1:7" x14ac:dyDescent="0.25">
      <c r="A8" s="84">
        <v>2</v>
      </c>
      <c r="B8" s="84" t="s">
        <v>104</v>
      </c>
      <c r="C8" s="85">
        <v>25</v>
      </c>
      <c r="D8" s="85">
        <f t="shared" si="0"/>
        <v>50</v>
      </c>
    </row>
    <row r="9" spans="1:7" x14ac:dyDescent="0.25">
      <c r="A9" s="84">
        <v>1</v>
      </c>
      <c r="B9" s="84" t="s">
        <v>105</v>
      </c>
      <c r="C9" s="85">
        <v>30</v>
      </c>
      <c r="D9" s="85">
        <f t="shared" si="0"/>
        <v>30</v>
      </c>
    </row>
    <row r="12" spans="1:7" x14ac:dyDescent="0.25">
      <c r="C12" s="84"/>
      <c r="F12" s="86" t="s">
        <v>107</v>
      </c>
      <c r="G12" s="84">
        <f>SUM(A:A)</f>
        <v>12</v>
      </c>
    </row>
    <row r="13" spans="1:7" x14ac:dyDescent="0.25">
      <c r="C13" s="84"/>
      <c r="F13" s="86" t="s">
        <v>106</v>
      </c>
      <c r="G13" s="85">
        <f>SUM(D:D)</f>
        <v>400</v>
      </c>
    </row>
    <row r="14" spans="1:7" x14ac:dyDescent="0.25">
      <c r="C14" s="84"/>
      <c r="F14" s="87" t="s">
        <v>108</v>
      </c>
      <c r="G14" s="85">
        <f>G13/4</f>
        <v>100</v>
      </c>
    </row>
    <row r="15" spans="1:7" x14ac:dyDescent="0.25">
      <c r="C15" s="84"/>
      <c r="F15" s="87" t="s">
        <v>109</v>
      </c>
      <c r="G15" s="85">
        <f>G13-G14</f>
        <v>300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46320</v>
      </c>
      <c r="F2" s="19">
        <f ca="1">E2-D2</f>
        <v>511</v>
      </c>
      <c r="G2" s="19" t="s">
        <v>71</v>
      </c>
      <c r="H2" s="54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46320</v>
      </c>
      <c r="F3" s="19">
        <f ca="1">E3-D3</f>
        <v>359</v>
      </c>
      <c r="G3" s="19" t="s">
        <v>71</v>
      </c>
      <c r="H3" s="54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galinhas</vt:lpstr>
      <vt:lpstr>criando</vt:lpstr>
      <vt:lpstr>chocando</vt:lpstr>
      <vt:lpstr>Planilha1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2026-10-25T16:04:35Z</dcterms:modified>
</cp:coreProperties>
</file>