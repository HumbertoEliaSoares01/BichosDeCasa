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9CFE9A05-26D0-4D91-BE25-313FC888A810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1" i="3" l="1"/>
  <c r="G11" i="3"/>
  <c r="I10" i="3" l="1"/>
  <c r="G10" i="3"/>
  <c r="I9" i="3"/>
  <c r="G9" i="3"/>
  <c r="E6" i="2" l="1"/>
  <c r="G6" i="2" s="1"/>
  <c r="G1" i="2"/>
  <c r="E9" i="2" l="1"/>
  <c r="G9" i="2" s="1"/>
  <c r="E10" i="2"/>
  <c r="G10" i="2" s="1"/>
  <c r="G16" i="3"/>
  <c r="I16" i="3"/>
  <c r="I15" i="3" l="1"/>
  <c r="G15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<sst xmlns="http://schemas.openxmlformats.org/spreadsheetml/2006/main" count="349" uniqueCount="88">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</sst>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46122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46122</v>
      </c>
      <c r="F11" s="15">
        <f t="shared" ref="F11:F18" ca="1" si="3">E11-D11</f>
        <v>315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46122</v>
      </c>
      <c r="F15" s="17">
        <f t="shared" ca="1" si="3"/>
        <v>315</v>
      </c>
      <c r="G15" s="17">
        <v>14</v>
      </c>
      <c r="H15" s="22">
        <f t="shared" ca="1" si="1"/>
        <v>4.4444444444444446E-2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46122</v>
      </c>
      <c r="F19" s="12">
        <f t="shared" ref="F19:F20" ca="1" si="4">E19-D19</f>
        <v>244</v>
      </c>
      <c r="G19" s="15">
        <v>15</v>
      </c>
      <c r="H19" s="14">
        <f ca="1">G19/F19</f>
        <v>6.1475409836065573E-2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-212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-212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46122</v>
      </c>
      <c r="F24" s="19">
        <f ca="1">E24-D24</f>
        <v>218</v>
      </c>
      <c r="G24" s="19">
        <v>3</v>
      </c>
      <c r="H24" s="14">
        <f ca="1">G24/F24</f>
        <v>1.3761467889908258E-2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46122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46122</v>
      </c>
      <c r="F26" s="19">
        <f ca="1">E26-D26</f>
        <v>218</v>
      </c>
      <c r="G26" s="19">
        <v>3</v>
      </c>
      <c r="H26" s="14">
        <f t="shared" ca="1" si="7"/>
        <v>1.3761467889908258E-2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46122</v>
      </c>
      <c r="F27" s="19">
        <f ca="1">E27-D27</f>
        <v>218</v>
      </c>
      <c r="G27" s="19">
        <v>3</v>
      </c>
      <c r="H27" s="14">
        <f t="shared" ref="H27" ca="1" si="8">G27/F27</f>
        <v>1.3761467889908258E-2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46122</v>
      </c>
      <c r="E41" s="37">
        <v>45910</v>
      </c>
      <c r="F41" s="28">
        <f ca="1">D41-E41</f>
        <v>212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46122</v>
      </c>
      <c r="E42" s="18">
        <v>45947</v>
      </c>
      <c r="F42" s="17">
        <f ca="1">D42-E42</f>
        <v>175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46122</v>
      </c>
      <c r="E43" s="18">
        <v>45953</v>
      </c>
      <c r="F43" s="17">
        <f t="shared" ref="F43:F44" ca="1" si="9">D43-E43</f>
        <v>169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46122</v>
      </c>
      <c r="E44" s="18">
        <v>45956</v>
      </c>
      <c r="F44" s="17">
        <f t="shared" ca="1" si="9"/>
        <v>166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46122</v>
      </c>
      <c r="F46" s="19">
        <f ca="1">E46-D46</f>
        <v>313</v>
      </c>
      <c r="G46" s="19" t="s">
        <v>71</v>
      </c>
      <c r="H46" s="55">
        <f ca="1">F46*2</f>
        <v>626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46122</v>
      </c>
      <c r="F47" s="19">
        <f t="shared" ref="F47:F48" ca="1" si="11">E47-D47</f>
        <v>179</v>
      </c>
      <c r="G47" s="19" t="s">
        <v>71</v>
      </c>
      <c r="H47" s="55">
        <f t="shared" ref="H47:H48" ca="1" si="12">F47*2</f>
        <v>358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46122</v>
      </c>
      <c r="F48" s="19">
        <f t="shared" ca="1" si="11"/>
        <v>161</v>
      </c>
      <c r="G48" s="19" t="s">
        <v>71</v>
      </c>
      <c r="H48" s="55">
        <f t="shared" ca="1" si="12"/>
        <v>322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46122</v>
      </c>
      <c r="E51" s="18">
        <v>46027</v>
      </c>
      <c r="F51" s="17">
        <f ca="1">D51-E51</f>
        <v>95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5"/>
  <sheetViews>
    <sheetView topLeftCell="C1" workbookViewId="0">
      <pane ySplit="2" topLeftCell="A3" activePane="bottomLeft" state="frozen"/>
      <selection pane="bottomLeft" activeCell="I11" sqref="I11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1" s="49" customFormat="1" ht="18.5" x14ac:dyDescent="0.35">
      <c r="B1" s="46" t="s">
        <v>0</v>
      </c>
      <c r="C1" s="46">
        <f ca="1">TODAY()</f>
        <v>46122</v>
      </c>
      <c r="E1" s="46"/>
      <c r="F1" s="46"/>
      <c r="G1" s="49">
        <f>SUM(J7:J10)</f>
        <v>14</v>
      </c>
      <c r="H1" s="49" t="s">
        <v>68</v>
      </c>
      <c r="I1" s="60"/>
      <c r="J1" s="60"/>
    </row>
    <row r="2" spans="1:11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1" s="17" customFormat="1" x14ac:dyDescent="0.35">
      <c r="A3" s="17" t="s">
        <v>18</v>
      </c>
      <c r="B3" s="17" t="s">
        <v>6</v>
      </c>
      <c r="C3" s="17" t="s">
        <v>3</v>
      </c>
      <c r="D3" s="17" t="s">
        <v>29</v>
      </c>
      <c r="E3" s="18">
        <f ca="1">TODAY()</f>
        <v>46122</v>
      </c>
      <c r="F3" s="18">
        <v>45947</v>
      </c>
      <c r="G3" s="17">
        <f t="shared" ref="G3:G8" ca="1" si="0">E3-F3</f>
        <v>175</v>
      </c>
      <c r="H3" s="17" t="s">
        <v>54</v>
      </c>
      <c r="I3" s="17">
        <v>4</v>
      </c>
      <c r="J3" s="17">
        <v>0</v>
      </c>
    </row>
    <row r="4" spans="1:11" s="17" customFormat="1" x14ac:dyDescent="0.35">
      <c r="A4" s="17" t="s">
        <v>18</v>
      </c>
      <c r="B4" s="17" t="s">
        <v>57</v>
      </c>
      <c r="C4" s="17" t="s">
        <v>56</v>
      </c>
      <c r="D4" s="17" t="s">
        <v>34</v>
      </c>
      <c r="E4" s="18">
        <f ca="1">TODAY()</f>
        <v>46122</v>
      </c>
      <c r="F4" s="18">
        <v>45953</v>
      </c>
      <c r="G4" s="17">
        <f t="shared" ca="1" si="0"/>
        <v>169</v>
      </c>
      <c r="H4" s="17" t="s">
        <v>54</v>
      </c>
      <c r="I4" s="17">
        <v>8</v>
      </c>
      <c r="J4" s="17">
        <v>0</v>
      </c>
    </row>
    <row r="5" spans="1:11" s="17" customFormat="1" x14ac:dyDescent="0.35">
      <c r="A5" s="17" t="s">
        <v>18</v>
      </c>
      <c r="B5" s="17" t="s">
        <v>7</v>
      </c>
      <c r="C5" s="17" t="s">
        <v>8</v>
      </c>
      <c r="D5" s="17" t="s">
        <v>29</v>
      </c>
      <c r="E5" s="18">
        <f ca="1">TODAY()</f>
        <v>46122</v>
      </c>
      <c r="F5" s="18">
        <v>45956</v>
      </c>
      <c r="G5" s="17">
        <f t="shared" ca="1" si="0"/>
        <v>166</v>
      </c>
      <c r="H5" s="17" t="s">
        <v>54</v>
      </c>
      <c r="I5" s="17">
        <v>8</v>
      </c>
      <c r="J5" s="17">
        <v>4</v>
      </c>
    </row>
    <row r="6" spans="1:11" s="58" customFormat="1" x14ac:dyDescent="0.35">
      <c r="A6" s="58" t="s">
        <v>18</v>
      </c>
      <c r="B6" s="58" t="s">
        <v>4</v>
      </c>
      <c r="C6" s="58" t="s">
        <v>1</v>
      </c>
      <c r="D6" s="58" t="s">
        <v>30</v>
      </c>
      <c r="E6" s="59">
        <f t="shared" ref="E6:E10" ca="1" si="1">TODAY()</f>
        <v>46122</v>
      </c>
      <c r="F6" s="59">
        <v>45910</v>
      </c>
      <c r="G6" s="58">
        <f t="shared" ca="1" si="0"/>
        <v>212</v>
      </c>
      <c r="H6" s="58" t="s">
        <v>54</v>
      </c>
      <c r="I6" s="58">
        <v>6</v>
      </c>
      <c r="J6" s="58">
        <v>1</v>
      </c>
    </row>
    <row r="7" spans="1:11" s="17" customFormat="1" x14ac:dyDescent="0.35">
      <c r="A7" s="17" t="s">
        <v>18</v>
      </c>
      <c r="B7" s="17" t="s">
        <v>6</v>
      </c>
      <c r="C7" s="17" t="s">
        <v>3</v>
      </c>
      <c r="D7" s="17" t="s">
        <v>29</v>
      </c>
      <c r="E7" s="18">
        <f ca="1">TODAY()</f>
        <v>46122</v>
      </c>
      <c r="F7" s="18">
        <v>46027</v>
      </c>
      <c r="G7" s="17">
        <f t="shared" ca="1" si="0"/>
        <v>95</v>
      </c>
      <c r="H7" s="17" t="s">
        <v>54</v>
      </c>
      <c r="I7" s="17">
        <v>7</v>
      </c>
      <c r="J7" s="17">
        <v>1</v>
      </c>
    </row>
    <row r="8" spans="1:11" s="17" customFormat="1" x14ac:dyDescent="0.35">
      <c r="A8" s="17" t="s">
        <v>18</v>
      </c>
      <c r="B8" s="17" t="s">
        <v>9</v>
      </c>
      <c r="C8" s="17" t="s">
        <v>10</v>
      </c>
      <c r="D8" s="17" t="s">
        <v>29</v>
      </c>
      <c r="E8" s="18">
        <f ca="1">TODAY()</f>
        <v>46122</v>
      </c>
      <c r="F8" s="18">
        <v>46036</v>
      </c>
      <c r="G8" s="17">
        <f t="shared" ca="1" si="0"/>
        <v>86</v>
      </c>
      <c r="H8" s="17" t="s">
        <v>54</v>
      </c>
      <c r="I8" s="17">
        <v>9</v>
      </c>
      <c r="J8" s="17">
        <v>3</v>
      </c>
    </row>
    <row r="9" spans="1:11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46122</v>
      </c>
      <c r="F9" s="18">
        <v>46082</v>
      </c>
      <c r="G9" s="17">
        <f t="shared" ref="G9:G10" ca="1" si="2">E9-F9</f>
        <v>40</v>
      </c>
      <c r="H9" s="17" t="s">
        <v>54</v>
      </c>
      <c r="I9" s="17">
        <v>10</v>
      </c>
      <c r="J9" s="17">
        <v>5</v>
      </c>
    </row>
    <row r="10" spans="1:11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46122</v>
      </c>
      <c r="F10" s="18">
        <v>46089</v>
      </c>
      <c r="G10" s="17">
        <f t="shared" ca="1" si="2"/>
        <v>33</v>
      </c>
      <c r="H10" s="17" t="s">
        <v>54</v>
      </c>
      <c r="I10" s="17">
        <v>10</v>
      </c>
      <c r="J10" s="17">
        <v>5</v>
      </c>
    </row>
    <row r="11" spans="1:11" s="17" customFormat="1" x14ac:dyDescent="0.35">
      <c r="E11" s="18"/>
      <c r="F11" s="18"/>
    </row>
    <row r="12" spans="1:11" s="30" customFormat="1" x14ac:dyDescent="0.35">
      <c r="A12" s="30" t="s">
        <v>35</v>
      </c>
      <c r="B12" s="30" t="s">
        <v>57</v>
      </c>
      <c r="C12" s="30" t="s">
        <v>56</v>
      </c>
      <c r="D12" s="31" t="s">
        <v>34</v>
      </c>
      <c r="E12" s="31">
        <v>45997</v>
      </c>
      <c r="H12" s="32"/>
    </row>
    <row r="15" spans="1:11" x14ac:dyDescent="0.35">
      <c r="F15" s="18"/>
      <c r="G15" s="17"/>
      <c r="H15" s="17"/>
      <c r="I15" s="22"/>
      <c r="J15" s="17"/>
      <c r="K15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6"/>
  <sheetViews>
    <sheetView tabSelected="1" workbookViewId="0">
      <pane ySplit="2" topLeftCell="A3" activePane="bottomLeft" state="frozen"/>
      <selection pane="bottomLeft" activeCell="I10" sqref="I10:I11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46122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61" customFormat="1" x14ac:dyDescent="0.35">
      <c r="A3" s="61" t="s">
        <v>17</v>
      </c>
      <c r="B3" s="61" t="s">
        <v>9</v>
      </c>
      <c r="C3" s="61" t="s">
        <v>10</v>
      </c>
      <c r="D3" s="61" t="s">
        <v>29</v>
      </c>
      <c r="E3" s="62">
        <v>45955</v>
      </c>
      <c r="F3" s="62">
        <v>45977</v>
      </c>
      <c r="G3" s="61">
        <f>F3-E3</f>
        <v>22</v>
      </c>
      <c r="H3" s="61">
        <v>10</v>
      </c>
      <c r="I3" s="63">
        <f>J3/H3</f>
        <v>1</v>
      </c>
      <c r="J3" s="61">
        <v>10</v>
      </c>
    </row>
    <row r="4" spans="1:10" s="61" customFormat="1" x14ac:dyDescent="0.35">
      <c r="A4" s="61" t="s">
        <v>17</v>
      </c>
      <c r="B4" s="61" t="s">
        <v>31</v>
      </c>
      <c r="C4" s="61" t="s">
        <v>42</v>
      </c>
      <c r="D4" s="61" t="s">
        <v>78</v>
      </c>
      <c r="E4" s="62">
        <v>45982</v>
      </c>
      <c r="F4" s="62">
        <v>46003</v>
      </c>
      <c r="G4" s="61">
        <f>F4-E4</f>
        <v>21</v>
      </c>
      <c r="H4" s="61">
        <v>10</v>
      </c>
      <c r="I4" s="63">
        <f>J4/H4</f>
        <v>0</v>
      </c>
    </row>
    <row r="5" spans="1:10" s="64" customFormat="1" x14ac:dyDescent="0.35">
      <c r="A5" s="61" t="s">
        <v>17</v>
      </c>
      <c r="B5" s="64" t="s">
        <v>6</v>
      </c>
      <c r="C5" s="64" t="s">
        <v>3</v>
      </c>
      <c r="D5" s="64" t="s">
        <v>29</v>
      </c>
      <c r="E5" s="65">
        <v>46005</v>
      </c>
      <c r="F5" s="65">
        <v>46026</v>
      </c>
      <c r="G5" s="64">
        <f>F5-E5</f>
        <v>21</v>
      </c>
      <c r="H5" s="64">
        <v>10</v>
      </c>
      <c r="I5" s="66" t="e">
        <f>#REF!/H5</f>
        <v>#REF!</v>
      </c>
    </row>
    <row r="6" spans="1:10" s="64" customFormat="1" x14ac:dyDescent="0.35">
      <c r="A6" s="64" t="s">
        <v>17</v>
      </c>
      <c r="B6" s="64" t="s">
        <v>9</v>
      </c>
      <c r="C6" s="64" t="s">
        <v>10</v>
      </c>
      <c r="D6" s="64" t="s">
        <v>29</v>
      </c>
      <c r="E6" s="65">
        <v>46015</v>
      </c>
      <c r="F6" s="65">
        <v>46036</v>
      </c>
      <c r="G6" s="64">
        <f>F6-E6</f>
        <v>21</v>
      </c>
      <c r="H6" s="64">
        <v>10</v>
      </c>
      <c r="I6" s="66">
        <f>J6/H6</f>
        <v>0.9</v>
      </c>
      <c r="J6" s="64">
        <v>9</v>
      </c>
    </row>
    <row r="7" spans="1:10" s="67" customFormat="1" x14ac:dyDescent="0.35">
      <c r="E7" s="68"/>
      <c r="F7" s="68"/>
    </row>
    <row r="9" spans="1:10" s="15" customFormat="1" x14ac:dyDescent="0.35">
      <c r="A9" s="15" t="s">
        <v>17</v>
      </c>
      <c r="B9" s="15" t="s">
        <v>6</v>
      </c>
      <c r="C9" s="15" t="s">
        <v>3</v>
      </c>
      <c r="D9" s="15" t="s">
        <v>29</v>
      </c>
      <c r="E9" s="16">
        <v>46106</v>
      </c>
      <c r="F9" s="16">
        <v>46127</v>
      </c>
      <c r="G9" s="15">
        <f>F9-E9</f>
        <v>21</v>
      </c>
      <c r="H9" s="15">
        <v>13</v>
      </c>
      <c r="I9" s="33">
        <f>J9/H9</f>
        <v>0</v>
      </c>
    </row>
    <row r="10" spans="1:10" s="15" customFormat="1" x14ac:dyDescent="0.35">
      <c r="A10" s="15" t="s">
        <v>17</v>
      </c>
      <c r="B10" s="15" t="s">
        <v>84</v>
      </c>
      <c r="C10" s="15" t="s">
        <v>85</v>
      </c>
      <c r="D10" s="15" t="s">
        <v>34</v>
      </c>
      <c r="E10" s="16">
        <v>46106</v>
      </c>
      <c r="F10" s="16">
        <v>46127</v>
      </c>
      <c r="G10" s="15">
        <f>F10-E10</f>
        <v>21</v>
      </c>
      <c r="H10" s="15">
        <v>13</v>
      </c>
      <c r="I10" s="33">
        <f>J10/H10</f>
        <v>0</v>
      </c>
    </row>
    <row r="11" spans="1:10" s="15" customFormat="1" x14ac:dyDescent="0.35">
      <c r="A11" s="15" t="s">
        <v>17</v>
      </c>
      <c r="B11" s="15" t="s">
        <v>86</v>
      </c>
      <c r="C11" s="15" t="s">
        <v>87</v>
      </c>
      <c r="D11" s="15" t="s">
        <v>29</v>
      </c>
      <c r="E11" s="16">
        <v>46122</v>
      </c>
      <c r="F11" s="16">
        <v>46143</v>
      </c>
      <c r="G11" s="15">
        <f>F11-E11</f>
        <v>21</v>
      </c>
      <c r="H11" s="15">
        <v>13</v>
      </c>
      <c r="I11" s="33">
        <f>J11/H11</f>
        <v>0</v>
      </c>
    </row>
    <row r="13" spans="1:10" s="30" customFormat="1" x14ac:dyDescent="0.35">
      <c r="A13" s="30" t="s">
        <v>79</v>
      </c>
      <c r="B13" s="30" t="s">
        <v>31</v>
      </c>
      <c r="C13" s="30" t="s">
        <v>42</v>
      </c>
      <c r="D13" s="31" t="s">
        <v>78</v>
      </c>
      <c r="E13" s="31">
        <v>45996</v>
      </c>
      <c r="F13" s="31"/>
      <c r="I13" s="32"/>
    </row>
    <row r="15" spans="1:10" s="64" customFormat="1" x14ac:dyDescent="0.35">
      <c r="A15" s="61"/>
      <c r="B15" s="64" t="s">
        <v>80</v>
      </c>
      <c r="C15" s="64" t="s">
        <v>81</v>
      </c>
      <c r="D15" s="64" t="s">
        <v>29</v>
      </c>
      <c r="E15" s="65">
        <v>46060</v>
      </c>
      <c r="F15" s="65">
        <v>46081</v>
      </c>
      <c r="G15" s="64">
        <f>F15-E15</f>
        <v>21</v>
      </c>
      <c r="H15" s="64">
        <v>12</v>
      </c>
      <c r="I15" s="66">
        <f>J15/H15</f>
        <v>0.83333333333333337</v>
      </c>
      <c r="J15" s="64">
        <v>10</v>
      </c>
    </row>
    <row r="16" spans="1:10" s="64" customFormat="1" x14ac:dyDescent="0.35">
      <c r="B16" s="64" t="s">
        <v>7</v>
      </c>
      <c r="C16" s="64" t="s">
        <v>8</v>
      </c>
      <c r="D16" s="64" t="s">
        <v>29</v>
      </c>
      <c r="E16" s="65">
        <v>46067</v>
      </c>
      <c r="F16" s="65">
        <v>46088</v>
      </c>
      <c r="G16" s="64">
        <f>F16-E16</f>
        <v>21</v>
      </c>
      <c r="H16" s="64">
        <v>12</v>
      </c>
      <c r="I16" s="66">
        <f>J16/H16</f>
        <v>0.41666666666666669</v>
      </c>
      <c r="J16" s="64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46122</v>
      </c>
      <c r="F2" s="19">
        <f ca="1">E2-D2</f>
        <v>313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46122</v>
      </c>
      <c r="F3" s="19">
        <f ca="1">E3-D3</f>
        <v>161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2026-04-10T20:55:30Z</dcterms:modified>
</cp:coreProperties>
</file>