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E5B1B971-19F1-4C4C-A053-5F493A292F1D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15" i="3" l="1"/>
  <c r="G14" i="3" l="1"/>
  <c r="E11" i="2" l="1"/>
  <c r="G11" i="2" s="1"/>
  <c r="E12" i="2"/>
  <c r="G12" i="2" s="1"/>
  <c r="I12" i="3" l="1"/>
  <c r="G12" i="3"/>
  <c r="I11" i="3" l="1"/>
  <c r="G11" i="3"/>
  <c r="I10" i="3" l="1"/>
  <c r="G10" i="3"/>
  <c r="I9" i="3"/>
  <c r="G9" i="3"/>
  <c r="E6" i="2" l="1"/>
  <c r="G6" i="2" s="1"/>
  <c r="G1" i="2"/>
  <c r="E9" i="2" l="1"/>
  <c r="G9" i="2" s="1"/>
  <c r="E10" i="2"/>
  <c r="G10" i="2" s="1"/>
  <c r="G20" i="3"/>
  <c r="I20" i="3"/>
  <c r="I19" i="3" l="1"/>
  <c r="G19" i="3"/>
  <c r="E8" i="2" l="1"/>
  <c r="G8" i="2" s="1"/>
  <c r="E7" i="2" l="1"/>
  <c r="G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<sst xmlns="http://schemas.openxmlformats.org/spreadsheetml/2006/main" count="365" uniqueCount="92">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</sst>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78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46169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46169</v>
      </c>
      <c r="F11" s="15">
        <f t="shared" ref="F11:F18" ca="1" si="3">E11-D11</f>
        <v>362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46169</v>
      </c>
      <c r="F15" s="17">
        <f t="shared" ca="1" si="3"/>
        <v>362</v>
      </c>
      <c r="G15" s="17">
        <v>14</v>
      </c>
      <c r="H15" s="22">
        <f t="shared" ca="1" si="1"/>
        <v>3.8674033149171269E-2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46169</v>
      </c>
      <c r="F19" s="12">
        <f t="shared" ref="F19:F20" ca="1" si="4">E19-D19</f>
        <v>291</v>
      </c>
      <c r="G19" s="15">
        <v>15</v>
      </c>
      <c r="H19" s="14">
        <f ca="1">G19/F19</f>
        <v>5.1546391752577317E-2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-259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-259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46169</v>
      </c>
      <c r="F24" s="19">
        <f ca="1">E24-D24</f>
        <v>265</v>
      </c>
      <c r="G24" s="19">
        <v>3</v>
      </c>
      <c r="H24" s="14">
        <f ca="1">G24/F24</f>
        <v>1.1320754716981131E-2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46169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46169</v>
      </c>
      <c r="F26" s="19">
        <f ca="1">E26-D26</f>
        <v>265</v>
      </c>
      <c r="G26" s="19">
        <v>3</v>
      </c>
      <c r="H26" s="14">
        <f t="shared" ca="1" si="7"/>
        <v>1.1320754716981131E-2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46169</v>
      </c>
      <c r="F27" s="19">
        <f ca="1">E27-D27</f>
        <v>265</v>
      </c>
      <c r="G27" s="19">
        <v>3</v>
      </c>
      <c r="H27" s="14">
        <f t="shared" ref="H27" ca="1" si="8">G27/F27</f>
        <v>1.1320754716981131E-2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46169</v>
      </c>
      <c r="E41" s="37">
        <v>45910</v>
      </c>
      <c r="F41" s="28">
        <f ca="1">D41-E41</f>
        <v>259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46169</v>
      </c>
      <c r="E42" s="18">
        <v>45947</v>
      </c>
      <c r="F42" s="17">
        <f ca="1">D42-E42</f>
        <v>222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46169</v>
      </c>
      <c r="E43" s="18">
        <v>45953</v>
      </c>
      <c r="F43" s="17">
        <f t="shared" ref="F43:F44" ca="1" si="9">D43-E43</f>
        <v>216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46169</v>
      </c>
      <c r="E44" s="18">
        <v>45956</v>
      </c>
      <c r="F44" s="17">
        <f t="shared" ca="1" si="9"/>
        <v>213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46169</v>
      </c>
      <c r="F46" s="19">
        <f ca="1">E46-D46</f>
        <v>360</v>
      </c>
      <c r="G46" s="19" t="s">
        <v>71</v>
      </c>
      <c r="H46" s="55">
        <f ca="1">F46*2</f>
        <v>720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46169</v>
      </c>
      <c r="F47" s="19">
        <f t="shared" ref="F47:F48" ca="1" si="11">E47-D47</f>
        <v>226</v>
      </c>
      <c r="G47" s="19" t="s">
        <v>71</v>
      </c>
      <c r="H47" s="55">
        <f t="shared" ref="H47:H48" ca="1" si="12">F47*2</f>
        <v>452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46169</v>
      </c>
      <c r="F48" s="19">
        <f t="shared" ca="1" si="11"/>
        <v>208</v>
      </c>
      <c r="G48" s="19" t="s">
        <v>71</v>
      </c>
      <c r="H48" s="55">
        <f t="shared" ca="1" si="12"/>
        <v>416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46169</v>
      </c>
      <c r="E51" s="18">
        <v>46027</v>
      </c>
      <c r="F51" s="17">
        <f ca="1">D51-E51</f>
        <v>142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K19"/>
  <sheetViews>
    <sheetView topLeftCell="C1" workbookViewId="0">
      <pane ySplit="2" topLeftCell="A3" activePane="bottomLeft" state="frozen"/>
      <selection pane="bottomLeft" activeCell="G14" sqref="G14:G15"/>
    </sheetView>
  </sheetViews>
  <sheetFormatPr defaultColWidth="10.7265625" defaultRowHeight="14.5" x14ac:dyDescent="0.35"/>
  <cols>
    <col min="1" max="2" width="10.7265625" style="47"/>
    <col min="3" max="3" width="17.453125" style="47" customWidth="1"/>
    <col min="4" max="4" width="10.7265625" style="47"/>
    <col min="5" max="5" width="10.7265625" style="48"/>
    <col min="6" max="6" width="14.7265625" style="48" customWidth="1"/>
    <col min="7" max="7" width="10.7265625" style="47"/>
    <col min="8" max="8" width="15.1796875" style="47" customWidth="1"/>
    <col min="9" max="9" width="13.81640625" style="47" customWidth="1"/>
    <col min="10" max="16384" width="10.7265625" style="47"/>
  </cols>
  <sheetData>
    <row r="1" spans="1:10" s="49" customFormat="1" ht="18.5" x14ac:dyDescent="0.35">
      <c r="B1" s="46" t="s">
        <v>0</v>
      </c>
      <c r="C1" s="46">
        <f ca="1">TODAY()</f>
        <v>46169</v>
      </c>
      <c r="E1" s="46"/>
      <c r="F1" s="46"/>
      <c r="G1" s="49">
        <f>SUM(J7:J10)</f>
        <v>14</v>
      </c>
      <c r="H1" s="49" t="s">
        <v>68</v>
      </c>
      <c r="I1" s="58"/>
      <c r="J1" s="58"/>
    </row>
    <row r="2" spans="1:10" s="50" customFormat="1" ht="19" thickBot="1" x14ac:dyDescent="0.4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82</v>
      </c>
      <c r="J2" s="50" t="s">
        <v>83</v>
      </c>
    </row>
    <row r="3" spans="1:10" s="67" customFormat="1" x14ac:dyDescent="0.35">
      <c r="A3" s="67" t="s">
        <v>18</v>
      </c>
      <c r="B3" s="67" t="s">
        <v>6</v>
      </c>
      <c r="C3" s="67" t="s">
        <v>3</v>
      </c>
      <c r="D3" s="67" t="s">
        <v>29</v>
      </c>
      <c r="E3" s="68">
        <f ca="1">TODAY()</f>
        <v>46169</v>
      </c>
      <c r="F3" s="68">
        <v>45947</v>
      </c>
      <c r="G3" s="67">
        <f t="shared" ref="G3:G8" ca="1" si="0">E3-F3</f>
        <v>222</v>
      </c>
      <c r="H3" s="67" t="s">
        <v>54</v>
      </c>
      <c r="I3" s="67">
        <v>4</v>
      </c>
      <c r="J3" s="67">
        <v>0</v>
      </c>
    </row>
    <row r="4" spans="1:10" s="67" customFormat="1" x14ac:dyDescent="0.35">
      <c r="A4" s="67" t="s">
        <v>18</v>
      </c>
      <c r="B4" s="67" t="s">
        <v>57</v>
      </c>
      <c r="C4" s="67" t="s">
        <v>56</v>
      </c>
      <c r="D4" s="67" t="s">
        <v>34</v>
      </c>
      <c r="E4" s="68">
        <f ca="1">TODAY()</f>
        <v>46169</v>
      </c>
      <c r="F4" s="68">
        <v>45953</v>
      </c>
      <c r="G4" s="67">
        <f t="shared" ca="1" si="0"/>
        <v>216</v>
      </c>
      <c r="H4" s="67" t="s">
        <v>54</v>
      </c>
      <c r="I4" s="67">
        <v>8</v>
      </c>
      <c r="J4" s="67">
        <v>0</v>
      </c>
    </row>
    <row r="5" spans="1:10" s="67" customFormat="1" x14ac:dyDescent="0.35">
      <c r="A5" s="67" t="s">
        <v>18</v>
      </c>
      <c r="B5" s="67" t="s">
        <v>7</v>
      </c>
      <c r="C5" s="67" t="s">
        <v>8</v>
      </c>
      <c r="D5" s="67" t="s">
        <v>29</v>
      </c>
      <c r="E5" s="68">
        <f ca="1">TODAY()</f>
        <v>46169</v>
      </c>
      <c r="F5" s="68">
        <v>45956</v>
      </c>
      <c r="G5" s="67">
        <f t="shared" ca="1" si="0"/>
        <v>213</v>
      </c>
      <c r="H5" s="67" t="s">
        <v>54</v>
      </c>
      <c r="I5" s="67">
        <v>8</v>
      </c>
      <c r="J5" s="67">
        <v>4</v>
      </c>
    </row>
    <row r="6" spans="1:10" s="70" customFormat="1" x14ac:dyDescent="0.35">
      <c r="A6" s="70" t="s">
        <v>18</v>
      </c>
      <c r="B6" s="70" t="s">
        <v>4</v>
      </c>
      <c r="C6" s="70" t="s">
        <v>1</v>
      </c>
      <c r="D6" s="70" t="s">
        <v>30</v>
      </c>
      <c r="E6" s="71">
        <f t="shared" ref="E6:E12" ca="1" si="1">TODAY()</f>
        <v>46169</v>
      </c>
      <c r="F6" s="71">
        <v>45910</v>
      </c>
      <c r="G6" s="70">
        <f t="shared" ca="1" si="0"/>
        <v>259</v>
      </c>
      <c r="H6" s="70" t="s">
        <v>54</v>
      </c>
      <c r="I6" s="70">
        <v>6</v>
      </c>
      <c r="J6" s="70">
        <v>1</v>
      </c>
    </row>
    <row r="7" spans="1:10" s="67" customFormat="1" x14ac:dyDescent="0.35">
      <c r="A7" s="67" t="s">
        <v>18</v>
      </c>
      <c r="B7" s="67" t="s">
        <v>6</v>
      </c>
      <c r="C7" s="67" t="s">
        <v>3</v>
      </c>
      <c r="D7" s="67" t="s">
        <v>29</v>
      </c>
      <c r="E7" s="68">
        <f ca="1">TODAY()</f>
        <v>46169</v>
      </c>
      <c r="F7" s="68">
        <v>46027</v>
      </c>
      <c r="G7" s="67">
        <f t="shared" ca="1" si="0"/>
        <v>142</v>
      </c>
      <c r="H7" s="67" t="s">
        <v>54</v>
      </c>
      <c r="I7" s="67">
        <v>7</v>
      </c>
      <c r="J7" s="67">
        <v>1</v>
      </c>
    </row>
    <row r="8" spans="1:10" s="74" customFormat="1" x14ac:dyDescent="0.35">
      <c r="A8" s="74" t="s">
        <v>18</v>
      </c>
      <c r="B8" s="74" t="s">
        <v>9</v>
      </c>
      <c r="C8" s="74" t="s">
        <v>10</v>
      </c>
      <c r="D8" s="74" t="s">
        <v>29</v>
      </c>
      <c r="E8" s="75">
        <f ca="1">TODAY()</f>
        <v>46169</v>
      </c>
      <c r="F8" s="75">
        <v>46036</v>
      </c>
      <c r="G8" s="74">
        <f t="shared" ca="1" si="0"/>
        <v>133</v>
      </c>
      <c r="H8" s="74" t="s">
        <v>54</v>
      </c>
      <c r="I8" s="74">
        <v>9</v>
      </c>
      <c r="J8" s="74">
        <v>3</v>
      </c>
    </row>
    <row r="9" spans="1:10" s="17" customFormat="1" x14ac:dyDescent="0.35">
      <c r="A9" s="17" t="s">
        <v>18</v>
      </c>
      <c r="B9" s="17" t="s">
        <v>80</v>
      </c>
      <c r="C9" s="17" t="s">
        <v>81</v>
      </c>
      <c r="D9" s="17" t="s">
        <v>29</v>
      </c>
      <c r="E9" s="18">
        <f t="shared" ca="1" si="1"/>
        <v>46169</v>
      </c>
      <c r="F9" s="18">
        <v>46082</v>
      </c>
      <c r="G9" s="17">
        <f ca="1">E9-F9</f>
        <v>87</v>
      </c>
      <c r="H9" s="17" t="s">
        <v>54</v>
      </c>
      <c r="I9" s="17">
        <v>10</v>
      </c>
      <c r="J9" s="17">
        <v>5</v>
      </c>
    </row>
    <row r="10" spans="1:10" s="17" customFormat="1" x14ac:dyDescent="0.35">
      <c r="A10" s="17" t="s">
        <v>18</v>
      </c>
      <c r="B10" s="17" t="s">
        <v>7</v>
      </c>
      <c r="C10" s="17" t="s">
        <v>8</v>
      </c>
      <c r="D10" s="17" t="s">
        <v>29</v>
      </c>
      <c r="E10" s="18">
        <f t="shared" ca="1" si="1"/>
        <v>46169</v>
      </c>
      <c r="F10" s="18">
        <v>46089</v>
      </c>
      <c r="G10" s="17">
        <f t="shared" ref="G10:G12" ca="1" si="2">E10-F10</f>
        <v>80</v>
      </c>
      <c r="H10" s="17" t="s">
        <v>54</v>
      </c>
      <c r="I10" s="17">
        <v>10</v>
      </c>
      <c r="J10" s="17">
        <v>5</v>
      </c>
    </row>
    <row r="11" spans="1:10" s="72" customFormat="1" x14ac:dyDescent="0.35">
      <c r="A11" s="72" t="s">
        <v>17</v>
      </c>
      <c r="B11" s="72" t="s">
        <v>6</v>
      </c>
      <c r="C11" s="72" t="s">
        <v>3</v>
      </c>
      <c r="D11" s="72" t="s">
        <v>29</v>
      </c>
      <c r="E11" s="18">
        <f t="shared" ca="1" si="1"/>
        <v>46169</v>
      </c>
      <c r="F11" s="73">
        <v>46129</v>
      </c>
      <c r="G11" s="17">
        <f t="shared" ca="1" si="2"/>
        <v>40</v>
      </c>
      <c r="H11" s="72">
        <v>13</v>
      </c>
      <c r="I11" s="72">
        <v>8</v>
      </c>
      <c r="J11" s="72">
        <v>8</v>
      </c>
    </row>
    <row r="12" spans="1:10" s="72" customFormat="1" x14ac:dyDescent="0.35">
      <c r="C12" s="72" t="s">
        <v>85</v>
      </c>
      <c r="D12" s="72" t="s">
        <v>34</v>
      </c>
      <c r="E12" s="18">
        <f t="shared" ca="1" si="1"/>
        <v>46169</v>
      </c>
      <c r="F12" s="73">
        <v>46129</v>
      </c>
      <c r="G12" s="17">
        <f t="shared" ca="1" si="2"/>
        <v>40</v>
      </c>
      <c r="H12" s="72">
        <v>13</v>
      </c>
      <c r="I12" s="72">
        <v>3</v>
      </c>
      <c r="J12" s="72">
        <v>3</v>
      </c>
    </row>
    <row r="13" spans="1:10" s="15" customFormat="1" x14ac:dyDescent="0.35">
      <c r="E13" s="16"/>
      <c r="F13" s="18"/>
      <c r="I13" s="33"/>
    </row>
    <row r="14" spans="1:10" s="15" customFormat="1" x14ac:dyDescent="0.35">
      <c r="E14" s="16"/>
      <c r="F14" s="18"/>
      <c r="I14" s="33"/>
    </row>
    <row r="15" spans="1:10" s="17" customFormat="1" x14ac:dyDescent="0.35">
      <c r="E15" s="18"/>
      <c r="F15" s="18"/>
    </row>
    <row r="16" spans="1:10" s="30" customFormat="1" x14ac:dyDescent="0.35">
      <c r="A16" s="30" t="s">
        <v>35</v>
      </c>
      <c r="B16" s="30" t="s">
        <v>57</v>
      </c>
      <c r="C16" s="30" t="s">
        <v>56</v>
      </c>
      <c r="D16" s="31" t="s">
        <v>34</v>
      </c>
      <c r="E16" s="31">
        <v>45997</v>
      </c>
      <c r="H16" s="32"/>
    </row>
    <row r="19" spans="6:11" x14ac:dyDescent="0.35">
      <c r="F19" s="18"/>
      <c r="G19" s="17"/>
      <c r="H19" s="17"/>
      <c r="I19" s="22"/>
      <c r="J19" s="17"/>
      <c r="K19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20"/>
  <sheetViews>
    <sheetView tabSelected="1" topLeftCell="B1" workbookViewId="0">
      <pane ySplit="2" topLeftCell="A6" activePane="bottomLeft" state="frozen"/>
      <selection pane="bottomLeft" activeCell="H15" sqref="H15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46169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76" customFormat="1" x14ac:dyDescent="0.35">
      <c r="B14" s="76" t="s">
        <v>88</v>
      </c>
      <c r="C14" s="76" t="s">
        <v>89</v>
      </c>
      <c r="D14" s="76" t="s">
        <v>29</v>
      </c>
      <c r="E14" s="77">
        <v>46159</v>
      </c>
      <c r="F14" s="77">
        <v>46180</v>
      </c>
      <c r="G14" s="17">
        <f>F14-E14</f>
        <v>21</v>
      </c>
      <c r="H14" s="76">
        <v>12</v>
      </c>
    </row>
    <row r="15" spans="1:10" s="76" customFormat="1" x14ac:dyDescent="0.35">
      <c r="B15" s="76" t="s">
        <v>90</v>
      </c>
      <c r="C15" s="76" t="s">
        <v>91</v>
      </c>
      <c r="D15" s="76" t="s">
        <v>34</v>
      </c>
      <c r="E15" s="77">
        <v>46169</v>
      </c>
      <c r="F15" s="77">
        <v>46190</v>
      </c>
      <c r="G15" s="17">
        <f>F15-E15</f>
        <v>21</v>
      </c>
      <c r="H15" s="76">
        <v>12</v>
      </c>
    </row>
    <row r="17" spans="1:10" s="30" customFormat="1" x14ac:dyDescent="0.35">
      <c r="A17" s="30" t="s">
        <v>79</v>
      </c>
      <c r="B17" s="30" t="s">
        <v>31</v>
      </c>
      <c r="C17" s="30" t="s">
        <v>42</v>
      </c>
      <c r="D17" s="31" t="s">
        <v>78</v>
      </c>
      <c r="E17" s="31">
        <v>45996</v>
      </c>
      <c r="F17" s="31"/>
      <c r="I17" s="32"/>
    </row>
    <row r="19" spans="1:10" s="62" customFormat="1" x14ac:dyDescent="0.35">
      <c r="A19" s="59"/>
      <c r="B19" s="62" t="s">
        <v>80</v>
      </c>
      <c r="C19" s="62" t="s">
        <v>81</v>
      </c>
      <c r="D19" s="62" t="s">
        <v>29</v>
      </c>
      <c r="E19" s="63">
        <v>46060</v>
      </c>
      <c r="F19" s="63">
        <v>46081</v>
      </c>
      <c r="G19" s="62">
        <f>F19-E19</f>
        <v>21</v>
      </c>
      <c r="H19" s="62">
        <v>12</v>
      </c>
      <c r="I19" s="64">
        <f>J19/H19</f>
        <v>0.83333333333333337</v>
      </c>
      <c r="J19" s="62">
        <v>10</v>
      </c>
    </row>
    <row r="20" spans="1:10" s="62" customFormat="1" x14ac:dyDescent="0.35">
      <c r="B20" s="62" t="s">
        <v>7</v>
      </c>
      <c r="C20" s="62" t="s">
        <v>8</v>
      </c>
      <c r="D20" s="62" t="s">
        <v>29</v>
      </c>
      <c r="E20" s="63">
        <v>46067</v>
      </c>
      <c r="F20" s="63">
        <v>46088</v>
      </c>
      <c r="G20" s="62">
        <f>F20-E20</f>
        <v>21</v>
      </c>
      <c r="H20" s="62">
        <v>12</v>
      </c>
      <c r="I20" s="64">
        <f>J20/H20</f>
        <v>0.41666666666666669</v>
      </c>
      <c r="J20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46169</v>
      </c>
      <c r="F2" s="19">
        <f ca="1">E2-D2</f>
        <v>360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46169</v>
      </c>
      <c r="F3" s="19">
        <f ca="1">E3-D3</f>
        <v>208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2026-05-27T21:49:12Z</dcterms:modified>
</cp:coreProperties>
</file>