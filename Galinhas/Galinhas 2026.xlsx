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58D21655-9B1D-43D0-8E49-C6CBA4732534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Martinho" sheetId="5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2" l="1"/>
  <c r="F22" i="2"/>
  <c r="F21" i="2"/>
  <c r="L23" i="2" l="1"/>
  <c r="L21" i="2"/>
  <c r="L18" i="2"/>
  <c r="L19" i="2"/>
  <c r="L20" i="2"/>
  <c r="L22" i="2"/>
  <c r="I24" i="3"/>
  <c r="H4" i="5" l="1"/>
  <c r="D5" i="5"/>
  <c r="D6" i="5"/>
  <c r="D7" i="5"/>
  <c r="D8" i="5"/>
  <c r="D9" i="5"/>
  <c r="D4" i="5"/>
  <c r="H5" i="5" l="1"/>
  <c r="I27" i="3"/>
  <c r="G27" i="3"/>
  <c r="G24" i="3" l="1"/>
  <c r="I25" i="3" l="1"/>
  <c r="G25" i="3"/>
  <c r="L17" i="2" l="1"/>
  <c r="F17" i="2"/>
  <c r="H17" i="2" s="1"/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35" i="3"/>
  <c r="I35" i="3"/>
  <c r="I34" i="3" l="1"/>
  <c r="G34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E47" i="1" l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  <c r="H6" i="5" l="1"/>
  <c r="H7" i="5" s="1"/>
</calcChain>
</file>

<file path=xl/sharedStrings.xml><?xml version="1.0" encoding="utf-8"?>
<sst xmlns="http://schemas.openxmlformats.org/spreadsheetml/2006/main" count="438" uniqueCount="107">
  <si>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</si>
  <si>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</si>
  <si>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</si>
  <si>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</si>
  <si>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</si>
  <si>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</si>
  <si>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</si>
  <si>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</si>
  <si>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</si>
  <si>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</si>
  <si>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</si>
  <si>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</si>
  <si>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</si>
  <si>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</si>
  <si>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</si>
  <si>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</si>
  <si>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</si>
  <si>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</si>
  <si>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</si>
  <si>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</si>
  <si>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</si>
  <si>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</si>
  <si>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</si>
  <si>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</si>
  <si>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</si>
  <si>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</si>
  <si>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</si>
  <si>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</si>
  <si>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</si>
  <si>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</si>
  <si>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</si>
  <si>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</si>
  <si>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</si>
  <si>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</si>
  <si>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</si>
  <si>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</si>
  <si>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</si>
  <si>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</si>
  <si>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</si>
  <si>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</si>
  <si>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</si>
  <si>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</si>
  <si>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</si>
  <si>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</si>
  <si>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</si>
  <si>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</si>
  <si>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</si>
  <si>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</si>
  <si>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</si>
  <si>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</si>
  <si>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</si>
  <si>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</si>
  <si>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</si>
  <si>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</si>
  <si>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</si>
  <si>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</si>
  <si>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</si>
  <si>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</si>
  <si>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</si>
  <si>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</si>
  <si>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</si>
  <si>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</si>
  <si>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</si>
  <si>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</si>
  <si>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</si>
  <si>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</si>
  <si>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</si>
  <si>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</si>
  <si>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</si>
  <si>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</si>
  <si>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</si>
  <si>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</si>
  <si>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</si>
  <si>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</si>
  <si>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</si>
  <si>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</si>
  <si>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</si>
  <si>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</si>
  <si>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</si>
  <si>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</si>
  <si>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</si>
  <si>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</si>
  <si>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</si>
  <si>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</si>
  <si>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</si>
  <si>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</si>
  <si>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</si>
  <si>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</si>
  <si>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</si>
  <si>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</si>
  <si>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</si>
  <si>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</si>
  <si>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</si>
  <si>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</si>
  <si>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</si>
  <si>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</si>
  <si>
    <t>SH</t>
  </si>
  <si>
    <t>Sheila</t>
  </si>
  <si>
    <t>frango</t>
  </si>
  <si>
    <t>galinha</t>
  </si>
  <si>
    <t>frangos</t>
  </si>
  <si>
    <t>galo</t>
  </si>
  <si>
    <t>TOTAL</t>
  </si>
  <si>
    <t>Cabeças</t>
  </si>
  <si>
    <t>desconto 25%</t>
  </si>
  <si>
    <t>TOTAL c/ descoto</t>
  </si>
  <si>
    <t>Valor combinado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</si>
</sst>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164" fontId="0" fillId="0" borderId="0" xfId="0" applyNumberFormat="1" applyFill="1" applyBorder="1" applyAlignment="1">
      <alignment horizontal="right"/>
    </xf>
    <xf numFmtId="14" fontId="0" fillId="0" borderId="0" xfId="0" applyNumberFormat="1" applyFill="1" applyBorder="1" applyAlignment="1">
      <alignment horizontal="center"/>
    </xf>
    <xf numFmtId="10" fontId="10" fillId="0" borderId="4" xfId="0" applyNumberFormat="1" applyFont="1" applyBorder="1" applyAlignment="1">
      <alignment horizontal="center" vertical="center"/>
    </xf>
    <xf numFmtId="10" fontId="15" fillId="0" borderId="0" xfId="0" applyNumberFormat="1" applyFont="1" applyFill="1" applyBorder="1" applyAlignment="1">
      <alignment horizontal="center" vertical="center"/>
    </xf>
    <xf numFmtId="10" fontId="2" fillId="0" borderId="0" xfId="0" applyNumberFormat="1" applyFont="1" applyFill="1" applyBorder="1" applyAlignment="1">
      <alignment horizontal="center" vertical="center"/>
    </xf>
    <xf numFmtId="10" fontId="0" fillId="0" borderId="0" xfId="0" applyNumberFormat="1" applyBorder="1" applyAlignment="1">
      <alignment horizontal="center" vertical="center"/>
    </xf>
    <xf numFmtId="10" fontId="2" fillId="3" borderId="0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14" fontId="16" fillId="0" borderId="0" xfId="0" applyNumberFormat="1" applyFont="1" applyFill="1" applyBorder="1" applyAlignment="1">
      <alignment horizontal="center" vertical="center"/>
    </xf>
    <xf numFmtId="10" fontId="16" fillId="0" borderId="0" xfId="0" applyNumberFormat="1" applyFont="1" applyBorder="1" applyAlignment="1">
      <alignment horizontal="center" vertical="center"/>
    </xf>
    <xf numFmtId="0" fontId="16" fillId="0" borderId="0" xfId="0" applyFont="1" applyBorder="1" applyAlignment="1">
      <alignment horizontal="center"/>
    </xf>
    <xf numFmtId="14" fontId="16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46322</v>
      </c>
      <c r="D1" s="41">
        <f>SUM(I32:I43)</f>
        <v>33</v>
      </c>
      <c r="E1" s="42" t="s">
        <v>58</v>
      </c>
      <c r="G1" s="53" t="s">
        <v>73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46322</v>
      </c>
      <c r="F11" s="15">
        <f t="shared" ref="F11:F18" ca="1" si="3">E11-D11</f>
        <v>515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46322</v>
      </c>
      <c r="F15" s="17">
        <f t="shared" ca="1" si="3"/>
        <v>515</v>
      </c>
      <c r="G15" s="17">
        <v>14</v>
      </c>
      <c r="H15" s="22">
        <f t="shared" ca="1" si="1"/>
        <v>2.7184466019417475E-2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46322</v>
      </c>
      <c r="F19" s="12">
        <f t="shared" ref="F19:F20" ca="1" si="4">E19-D19</f>
        <v>444</v>
      </c>
      <c r="G19" s="15">
        <v>15</v>
      </c>
      <c r="H19" s="14">
        <f ca="1">G19/F19</f>
        <v>3.3783783783783786E-2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-412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-412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46322</v>
      </c>
      <c r="F24" s="19">
        <f ca="1">E24-D24</f>
        <v>418</v>
      </c>
      <c r="G24" s="19">
        <v>3</v>
      </c>
      <c r="H24" s="14">
        <f ca="1">G24/F24</f>
        <v>7.1770334928229667E-3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46322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46322</v>
      </c>
      <c r="F26" s="19">
        <f ca="1">E26-D26</f>
        <v>418</v>
      </c>
      <c r="G26" s="19">
        <v>3</v>
      </c>
      <c r="H26" s="14">
        <f t="shared" ca="1" si="7"/>
        <v>7.1770334928229667E-3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46322</v>
      </c>
      <c r="F27" s="19">
        <f ca="1">E27-D27</f>
        <v>418</v>
      </c>
      <c r="G27" s="19">
        <v>3</v>
      </c>
      <c r="H27" s="14">
        <f t="shared" ref="H27" ca="1" si="8">G27/F27</f>
        <v>7.1770334928229667E-3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46322</v>
      </c>
      <c r="E41" s="37">
        <v>45910</v>
      </c>
      <c r="F41" s="28">
        <f ca="1">D41-E41</f>
        <v>412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46322</v>
      </c>
      <c r="E42" s="18">
        <v>45947</v>
      </c>
      <c r="F42" s="17">
        <f ca="1">D42-E42</f>
        <v>375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46322</v>
      </c>
      <c r="E43" s="18">
        <v>45953</v>
      </c>
      <c r="F43" s="17">
        <f t="shared" ref="F43:F44" ca="1" si="9">D43-E43</f>
        <v>369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46322</v>
      </c>
      <c r="E44" s="18">
        <v>45956</v>
      </c>
      <c r="F44" s="17">
        <f t="shared" ca="1" si="9"/>
        <v>366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46322</v>
      </c>
      <c r="F46" s="19">
        <f ca="1">E46-D46</f>
        <v>513</v>
      </c>
      <c r="G46" s="19" t="s">
        <v>70</v>
      </c>
      <c r="H46" s="54">
        <f ca="1">F46*2</f>
        <v>1026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46322</v>
      </c>
      <c r="F47" s="19">
        <f t="shared" ref="F47:F48" ca="1" si="11">E47-D47</f>
        <v>379</v>
      </c>
      <c r="G47" s="19" t="s">
        <v>70</v>
      </c>
      <c r="H47" s="54">
        <f t="shared" ref="H47:H48" ca="1" si="12">F47*2</f>
        <v>758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46322</v>
      </c>
      <c r="F48" s="19">
        <f t="shared" ca="1" si="11"/>
        <v>361</v>
      </c>
      <c r="G48" s="19" t="s">
        <v>70</v>
      </c>
      <c r="H48" s="54">
        <f t="shared" ca="1" si="12"/>
        <v>722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46322</v>
      </c>
      <c r="E51" s="18">
        <v>46027</v>
      </c>
      <c r="F51" s="17">
        <f ca="1">D51-E51</f>
        <v>295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75</v>
      </c>
      <c r="B55" s="30" t="s">
        <v>31</v>
      </c>
      <c r="C55" s="30" t="s">
        <v>42</v>
      </c>
      <c r="D55" s="31" t="s">
        <v>74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75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75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4"/>
  <sheetViews>
    <sheetView tabSelected="1" topLeftCell="C1" workbookViewId="0">
      <pane ySplit="2" topLeftCell="A11" activePane="bottomLeft" state="frozen"/>
      <selection pane="bottomLeft" activeCell="C24" sqref="C24"/>
    </sheetView>
  </sheetViews>
  <sheetFormatPr defaultColWidth="10.7109375" defaultRowHeight="15" x14ac:dyDescent="0.25"/>
  <cols>
    <col min="1" max="3" width="10.7109375" style="47"/>
    <col min="4" max="4" width="17.42578125" style="47" customWidth="1"/>
    <col min="5" max="5" width="10.7109375" style="47"/>
    <col min="6" max="6" width="10.7109375" style="48"/>
    <col min="7" max="7" width="14.7109375" style="48" customWidth="1"/>
    <col min="8" max="8" width="10.7109375" style="47"/>
    <col min="9" max="9" width="15.140625" style="47" customWidth="1"/>
    <col min="10" max="10" width="13.85546875" style="47" customWidth="1"/>
    <col min="11" max="16384" width="10.7109375" style="47"/>
  </cols>
  <sheetData>
    <row r="1" spans="1:13" s="49" customFormat="1" ht="18.75" x14ac:dyDescent="0.25">
      <c r="B1" s="46" t="s">
        <v>0</v>
      </c>
      <c r="C1" s="46"/>
      <c r="D1" s="46">
        <f ca="1">TODAY()</f>
        <v>46322</v>
      </c>
      <c r="F1" s="46"/>
      <c r="G1" s="46"/>
      <c r="H1" s="49">
        <f>SUM(K7:K10)</f>
        <v>13</v>
      </c>
      <c r="I1" s="49" t="s">
        <v>67</v>
      </c>
      <c r="J1" s="57"/>
      <c r="K1" s="57"/>
    </row>
    <row r="2" spans="1:13" s="50" customFormat="1" ht="19.5" thickBot="1" x14ac:dyDescent="0.3">
      <c r="A2" s="50" t="s">
        <v>59</v>
      </c>
      <c r="B2" s="51" t="s">
        <v>60</v>
      </c>
      <c r="C2" s="51"/>
      <c r="D2" s="51" t="s">
        <v>66</v>
      </c>
      <c r="E2" s="50" t="s">
        <v>65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78</v>
      </c>
      <c r="K2" s="50" t="s">
        <v>79</v>
      </c>
      <c r="L2" s="76" t="s">
        <v>89</v>
      </c>
    </row>
    <row r="3" spans="1:13" s="64" customFormat="1" x14ac:dyDescent="0.25">
      <c r="A3" s="64" t="s">
        <v>18</v>
      </c>
      <c r="B3" s="64" t="s">
        <v>6</v>
      </c>
      <c r="C3" s="64" t="s">
        <v>6</v>
      </c>
      <c r="D3" s="64" t="s">
        <v>3</v>
      </c>
      <c r="E3" s="64" t="s">
        <v>29</v>
      </c>
      <c r="F3" s="65">
        <f ca="1">TODAY()</f>
        <v>46322</v>
      </c>
      <c r="G3" s="65">
        <v>45947</v>
      </c>
      <c r="H3" s="64">
        <f t="shared" ref="H3:H8" ca="1" si="0">F3-G3</f>
        <v>375</v>
      </c>
      <c r="I3" s="64" t="s">
        <v>54</v>
      </c>
      <c r="J3" s="64">
        <v>4</v>
      </c>
      <c r="K3" s="64">
        <v>0</v>
      </c>
      <c r="L3" s="66">
        <f>K3/J3</f>
        <v>0</v>
      </c>
    </row>
    <row r="4" spans="1:13" s="64" customFormat="1" x14ac:dyDescent="0.25">
      <c r="A4" s="64" t="s">
        <v>18</v>
      </c>
      <c r="B4" s="64" t="s">
        <v>57</v>
      </c>
      <c r="C4" s="64" t="s">
        <v>57</v>
      </c>
      <c r="D4" s="64" t="s">
        <v>56</v>
      </c>
      <c r="E4" s="64" t="s">
        <v>34</v>
      </c>
      <c r="F4" s="65">
        <f ca="1">TODAY()</f>
        <v>46322</v>
      </c>
      <c r="G4" s="65">
        <v>45953</v>
      </c>
      <c r="H4" s="64">
        <f t="shared" ca="1" si="0"/>
        <v>369</v>
      </c>
      <c r="I4" s="64" t="s">
        <v>54</v>
      </c>
      <c r="J4" s="64">
        <v>8</v>
      </c>
      <c r="K4" s="64">
        <v>0</v>
      </c>
      <c r="L4" s="66">
        <f t="shared" ref="L4:L14" si="1">K4/J4</f>
        <v>0</v>
      </c>
    </row>
    <row r="5" spans="1:13" s="64" customFormat="1" x14ac:dyDescent="0.25">
      <c r="A5" s="64" t="s">
        <v>18</v>
      </c>
      <c r="B5" s="64" t="s">
        <v>7</v>
      </c>
      <c r="C5" s="64" t="s">
        <v>7</v>
      </c>
      <c r="D5" s="64" t="s">
        <v>8</v>
      </c>
      <c r="E5" s="64" t="s">
        <v>29</v>
      </c>
      <c r="F5" s="65">
        <f ca="1">TODAY()</f>
        <v>46322</v>
      </c>
      <c r="G5" s="65">
        <v>45956</v>
      </c>
      <c r="H5" s="64">
        <f t="shared" ca="1" si="0"/>
        <v>366</v>
      </c>
      <c r="I5" s="64" t="s">
        <v>54</v>
      </c>
      <c r="J5" s="64">
        <v>8</v>
      </c>
      <c r="K5" s="71">
        <v>4</v>
      </c>
      <c r="L5" s="75">
        <f t="shared" si="1"/>
        <v>0.5</v>
      </c>
      <c r="M5" s="71"/>
    </row>
    <row r="6" spans="1:13" s="67" customFormat="1" x14ac:dyDescent="0.25">
      <c r="A6" s="67" t="s">
        <v>18</v>
      </c>
      <c r="B6" s="67" t="s">
        <v>4</v>
      </c>
      <c r="C6" s="67" t="s">
        <v>4</v>
      </c>
      <c r="D6" s="67" t="s">
        <v>1</v>
      </c>
      <c r="E6" s="67" t="s">
        <v>30</v>
      </c>
      <c r="F6" s="68">
        <f t="shared" ref="F6:F14" ca="1" si="2">TODAY()</f>
        <v>46322</v>
      </c>
      <c r="G6" s="68">
        <v>45910</v>
      </c>
      <c r="H6" s="67">
        <f t="shared" ca="1" si="0"/>
        <v>412</v>
      </c>
      <c r="I6" s="67" t="s">
        <v>54</v>
      </c>
      <c r="J6" s="67">
        <v>6</v>
      </c>
      <c r="K6" s="64">
        <v>1</v>
      </c>
      <c r="L6" s="66">
        <f t="shared" si="1"/>
        <v>0.16666666666666666</v>
      </c>
      <c r="M6" s="64"/>
    </row>
    <row r="7" spans="1:13" s="64" customFormat="1" x14ac:dyDescent="0.25">
      <c r="A7" s="64" t="s">
        <v>18</v>
      </c>
      <c r="B7" s="64" t="s">
        <v>6</v>
      </c>
      <c r="C7" s="64" t="s">
        <v>6</v>
      </c>
      <c r="D7" s="64" t="s">
        <v>3</v>
      </c>
      <c r="E7" s="64" t="s">
        <v>29</v>
      </c>
      <c r="F7" s="65">
        <f ca="1">TODAY()</f>
        <v>46322</v>
      </c>
      <c r="G7" s="65">
        <v>46027</v>
      </c>
      <c r="H7" s="64">
        <f t="shared" ca="1" si="0"/>
        <v>295</v>
      </c>
      <c r="I7" s="64" t="s">
        <v>54</v>
      </c>
      <c r="J7" s="64">
        <v>7</v>
      </c>
      <c r="K7" s="64">
        <v>1</v>
      </c>
      <c r="L7" s="66">
        <f t="shared" si="1"/>
        <v>0.14285714285714285</v>
      </c>
    </row>
    <row r="8" spans="1:13" s="71" customFormat="1" x14ac:dyDescent="0.25">
      <c r="A8" s="71" t="s">
        <v>18</v>
      </c>
      <c r="B8" s="71" t="s">
        <v>9</v>
      </c>
      <c r="C8" s="71" t="s">
        <v>9</v>
      </c>
      <c r="D8" s="71" t="s">
        <v>10</v>
      </c>
      <c r="E8" s="71" t="s">
        <v>29</v>
      </c>
      <c r="F8" s="72">
        <f ca="1">TODAY()</f>
        <v>46322</v>
      </c>
      <c r="G8" s="72">
        <v>46036</v>
      </c>
      <c r="H8" s="71">
        <f t="shared" ca="1" si="0"/>
        <v>286</v>
      </c>
      <c r="I8" s="71" t="s">
        <v>54</v>
      </c>
      <c r="J8" s="71">
        <v>9</v>
      </c>
      <c r="K8" s="71">
        <v>3</v>
      </c>
      <c r="L8" s="75">
        <f t="shared" si="1"/>
        <v>0.33333333333333331</v>
      </c>
    </row>
    <row r="9" spans="1:13" s="71" customFormat="1" x14ac:dyDescent="0.25">
      <c r="A9" s="71" t="s">
        <v>18</v>
      </c>
      <c r="B9" s="71" t="s">
        <v>76</v>
      </c>
      <c r="C9" s="71" t="s">
        <v>76</v>
      </c>
      <c r="D9" s="71" t="s">
        <v>77</v>
      </c>
      <c r="E9" s="71" t="s">
        <v>29</v>
      </c>
      <c r="F9" s="72">
        <f t="shared" ca="1" si="2"/>
        <v>46322</v>
      </c>
      <c r="G9" s="72">
        <v>46082</v>
      </c>
      <c r="H9" s="71">
        <f ca="1">F9-G9</f>
        <v>240</v>
      </c>
      <c r="I9" s="71" t="s">
        <v>54</v>
      </c>
      <c r="J9" s="71">
        <v>10</v>
      </c>
      <c r="K9" s="71">
        <v>4</v>
      </c>
      <c r="L9" s="75">
        <f t="shared" si="1"/>
        <v>0.4</v>
      </c>
    </row>
    <row r="10" spans="1:13" s="17" customFormat="1" x14ac:dyDescent="0.2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46322</v>
      </c>
      <c r="G10" s="18">
        <v>46089</v>
      </c>
      <c r="H10" s="17">
        <f t="shared" ref="H10:H17" ca="1" si="3">F10-G10</f>
        <v>233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69" customFormat="1" x14ac:dyDescent="0.25">
      <c r="A11" s="69" t="s">
        <v>17</v>
      </c>
      <c r="B11" s="69" t="s">
        <v>6</v>
      </c>
      <c r="C11" s="69" t="s">
        <v>6</v>
      </c>
      <c r="D11" s="69" t="s">
        <v>3</v>
      </c>
      <c r="E11" s="69" t="s">
        <v>29</v>
      </c>
      <c r="F11" s="18">
        <f t="shared" ca="1" si="2"/>
        <v>46322</v>
      </c>
      <c r="G11" s="70">
        <v>46129</v>
      </c>
      <c r="H11" s="17">
        <f t="shared" ca="1" si="3"/>
        <v>193</v>
      </c>
      <c r="I11" s="17" t="s">
        <v>54</v>
      </c>
      <c r="J11" s="69">
        <v>8</v>
      </c>
      <c r="K11" s="69">
        <v>8</v>
      </c>
      <c r="L11" s="22">
        <f t="shared" si="1"/>
        <v>1</v>
      </c>
    </row>
    <row r="12" spans="1:13" s="69" customFormat="1" x14ac:dyDescent="0.25">
      <c r="C12" s="69" t="s">
        <v>80</v>
      </c>
      <c r="D12" s="69" t="s">
        <v>81</v>
      </c>
      <c r="E12" s="69" t="s">
        <v>34</v>
      </c>
      <c r="F12" s="18">
        <f t="shared" ca="1" si="2"/>
        <v>46322</v>
      </c>
      <c r="G12" s="70">
        <v>46129</v>
      </c>
      <c r="H12" s="17">
        <f t="shared" ca="1" si="3"/>
        <v>193</v>
      </c>
      <c r="I12" s="17" t="s">
        <v>54</v>
      </c>
      <c r="J12" s="69">
        <v>3</v>
      </c>
      <c r="K12" s="69">
        <v>0</v>
      </c>
      <c r="L12" s="22">
        <f t="shared" si="1"/>
        <v>0</v>
      </c>
    </row>
    <row r="13" spans="1:13" s="71" customFormat="1" x14ac:dyDescent="0.25">
      <c r="C13" s="71" t="s">
        <v>84</v>
      </c>
      <c r="D13" s="71" t="s">
        <v>85</v>
      </c>
      <c r="E13" s="71" t="s">
        <v>29</v>
      </c>
      <c r="F13" s="72">
        <f t="shared" ca="1" si="2"/>
        <v>46322</v>
      </c>
      <c r="G13" s="72">
        <v>46182</v>
      </c>
      <c r="H13" s="71">
        <f t="shared" ca="1" si="3"/>
        <v>140</v>
      </c>
      <c r="I13" s="71" t="s">
        <v>54</v>
      </c>
      <c r="J13" s="71">
        <v>4</v>
      </c>
      <c r="K13" s="71">
        <v>3</v>
      </c>
      <c r="L13" s="75">
        <f t="shared" si="1"/>
        <v>0.75</v>
      </c>
    </row>
    <row r="14" spans="1:13" s="71" customFormat="1" x14ac:dyDescent="0.25">
      <c r="C14" s="71" t="s">
        <v>86</v>
      </c>
      <c r="D14" s="71" t="s">
        <v>87</v>
      </c>
      <c r="E14" s="71" t="s">
        <v>34</v>
      </c>
      <c r="F14" s="72">
        <f t="shared" ca="1" si="2"/>
        <v>46322</v>
      </c>
      <c r="G14" s="72">
        <v>46184</v>
      </c>
      <c r="H14" s="71">
        <f t="shared" ca="1" si="3"/>
        <v>138</v>
      </c>
      <c r="I14" s="71" t="s">
        <v>54</v>
      </c>
      <c r="J14" s="71">
        <v>1</v>
      </c>
      <c r="K14" s="71">
        <v>1</v>
      </c>
      <c r="L14" s="75">
        <f t="shared" si="1"/>
        <v>1</v>
      </c>
    </row>
    <row r="15" spans="1:13" s="17" customFormat="1" x14ac:dyDescent="0.25">
      <c r="C15" s="17" t="s">
        <v>91</v>
      </c>
      <c r="D15" s="17" t="s">
        <v>90</v>
      </c>
      <c r="E15" s="17" t="s">
        <v>34</v>
      </c>
      <c r="F15" s="18">
        <f ca="1">TODAY()</f>
        <v>46322</v>
      </c>
      <c r="G15" s="18">
        <v>46216</v>
      </c>
      <c r="H15" s="17">
        <f t="shared" ca="1" si="3"/>
        <v>106</v>
      </c>
      <c r="I15" s="69" t="s">
        <v>54</v>
      </c>
      <c r="J15" s="69">
        <v>8</v>
      </c>
      <c r="K15" s="69">
        <v>8</v>
      </c>
      <c r="L15" s="22">
        <f>K15/J15</f>
        <v>1</v>
      </c>
    </row>
    <row r="16" spans="1:13" s="71" customFormat="1" x14ac:dyDescent="0.25">
      <c r="C16" s="71" t="s">
        <v>92</v>
      </c>
      <c r="D16" s="71" t="s">
        <v>93</v>
      </c>
      <c r="E16" s="71" t="s">
        <v>29</v>
      </c>
      <c r="F16" s="72">
        <f ca="1">TODAY()</f>
        <v>46322</v>
      </c>
      <c r="G16" s="72">
        <f t="shared" ref="G16" ca="1" si="4">TODAY()</f>
        <v>46322</v>
      </c>
      <c r="H16" s="71">
        <f t="shared" ca="1" si="3"/>
        <v>0</v>
      </c>
      <c r="I16" s="71" t="s">
        <v>54</v>
      </c>
      <c r="J16" s="71">
        <v>6</v>
      </c>
      <c r="K16" s="71">
        <v>6</v>
      </c>
      <c r="L16" s="75">
        <f>K16/J16</f>
        <v>1</v>
      </c>
    </row>
    <row r="17" spans="1:13" s="17" customFormat="1" x14ac:dyDescent="0.25">
      <c r="C17" s="17" t="s">
        <v>82</v>
      </c>
      <c r="D17" s="17" t="s">
        <v>95</v>
      </c>
      <c r="E17" s="17" t="s">
        <v>29</v>
      </c>
      <c r="F17" s="18">
        <f ca="1">TODAY()</f>
        <v>46322</v>
      </c>
      <c r="G17" s="18">
        <v>46271</v>
      </c>
      <c r="H17" s="17">
        <f t="shared" ca="1" si="3"/>
        <v>51</v>
      </c>
      <c r="I17" s="69" t="s">
        <v>54</v>
      </c>
      <c r="J17" s="69">
        <v>6</v>
      </c>
      <c r="K17" s="69">
        <v>6</v>
      </c>
      <c r="L17" s="22">
        <f>K17/J17</f>
        <v>1</v>
      </c>
    </row>
    <row r="18" spans="1:13" s="17" customFormat="1" x14ac:dyDescent="0.25">
      <c r="F18" s="18"/>
      <c r="G18" s="18"/>
      <c r="I18" s="69"/>
      <c r="J18" s="69"/>
      <c r="K18" s="69"/>
      <c r="L18" s="22" t="e">
        <f t="shared" ref="L18:L23" si="5">K18/J18</f>
        <v>#DIV/0!</v>
      </c>
    </row>
    <row r="19" spans="1:13" s="15" customFormat="1" x14ac:dyDescent="0.25">
      <c r="C19" s="73"/>
      <c r="D19" s="73"/>
      <c r="E19" s="73"/>
      <c r="F19" s="18"/>
      <c r="G19" s="74"/>
      <c r="H19" s="17"/>
      <c r="I19" s="69"/>
      <c r="J19" s="69"/>
      <c r="K19" s="69"/>
      <c r="L19" s="22" t="e">
        <f t="shared" si="5"/>
        <v>#DIV/0!</v>
      </c>
      <c r="M19" s="17"/>
    </row>
    <row r="20" spans="1:13" s="30" customFormat="1" x14ac:dyDescent="0.2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  <c r="L20" s="91" t="e">
        <f t="shared" si="5"/>
        <v>#DIV/0!</v>
      </c>
    </row>
    <row r="21" spans="1:13" s="92" customFormat="1" x14ac:dyDescent="0.25">
      <c r="B21" s="92" t="s">
        <v>9</v>
      </c>
      <c r="C21" s="92" t="s">
        <v>9</v>
      </c>
      <c r="D21" s="92" t="s">
        <v>10</v>
      </c>
      <c r="E21" s="92" t="s">
        <v>29</v>
      </c>
      <c r="F21" s="93">
        <f ca="1">TODAY()</f>
        <v>46322</v>
      </c>
      <c r="G21" s="93">
        <v>46311</v>
      </c>
      <c r="H21" s="92">
        <v>12</v>
      </c>
      <c r="I21" s="92" t="s">
        <v>54</v>
      </c>
      <c r="J21" s="92">
        <v>1</v>
      </c>
      <c r="K21" s="92">
        <v>1</v>
      </c>
      <c r="L21" s="94">
        <f>K21/J21</f>
        <v>1</v>
      </c>
    </row>
    <row r="22" spans="1:13" s="92" customFormat="1" x14ac:dyDescent="0.25">
      <c r="A22" s="92" t="s">
        <v>18</v>
      </c>
      <c r="B22" s="92" t="s">
        <v>91</v>
      </c>
      <c r="C22" s="92" t="s">
        <v>91</v>
      </c>
      <c r="D22" s="92" t="s">
        <v>90</v>
      </c>
      <c r="E22" s="92" t="s">
        <v>34</v>
      </c>
      <c r="F22" s="93">
        <f t="shared" ref="F22:F23" ca="1" si="6">TODAY()</f>
        <v>46322</v>
      </c>
      <c r="G22" s="93">
        <v>46322</v>
      </c>
      <c r="H22" s="92">
        <v>12</v>
      </c>
      <c r="I22" s="92" t="s">
        <v>54</v>
      </c>
      <c r="J22" s="92">
        <v>8</v>
      </c>
      <c r="K22" s="92">
        <v>8</v>
      </c>
      <c r="L22" s="94">
        <f t="shared" si="5"/>
        <v>1</v>
      </c>
    </row>
    <row r="23" spans="1:13" s="92" customFormat="1" x14ac:dyDescent="0.25">
      <c r="B23" s="92" t="s">
        <v>96</v>
      </c>
      <c r="C23" s="92" t="s">
        <v>96</v>
      </c>
      <c r="D23" s="92" t="s">
        <v>97</v>
      </c>
      <c r="E23" s="92" t="s">
        <v>29</v>
      </c>
      <c r="F23" s="93">
        <f t="shared" ca="1" si="6"/>
        <v>46322</v>
      </c>
      <c r="G23" s="93">
        <v>46322</v>
      </c>
      <c r="H23" s="92">
        <v>12</v>
      </c>
      <c r="I23" s="92" t="s">
        <v>54</v>
      </c>
      <c r="J23" s="92">
        <v>1</v>
      </c>
      <c r="K23" s="92">
        <v>1</v>
      </c>
      <c r="L23" s="94">
        <f t="shared" si="5"/>
        <v>1</v>
      </c>
    </row>
    <row r="24" spans="1:13" s="95" customFormat="1" x14ac:dyDescent="0.25">
      <c r="F24" s="96"/>
      <c r="G24" s="96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35"/>
  <sheetViews>
    <sheetView topLeftCell="C1" workbookViewId="0">
      <pane ySplit="2" topLeftCell="A18" activePane="bottomLeft" state="frozen"/>
      <selection pane="bottomLeft" activeCell="C25" sqref="A25:XFD25"/>
    </sheetView>
  </sheetViews>
  <sheetFormatPr defaultColWidth="9.140625" defaultRowHeight="15" x14ac:dyDescent="0.25"/>
  <cols>
    <col min="1" max="1" width="13.28515625" style="21" customWidth="1"/>
    <col min="2" max="2" width="9.140625" style="21"/>
    <col min="3" max="3" width="19.42578125" style="21" customWidth="1"/>
    <col min="4" max="4" width="14.28515625" style="21" customWidth="1"/>
    <col min="5" max="5" width="13" style="81" customWidth="1"/>
    <col min="6" max="6" width="16.85546875" style="81" customWidth="1"/>
    <col min="7" max="7" width="13" style="21" customWidth="1"/>
    <col min="8" max="8" width="15.140625" style="21" customWidth="1"/>
    <col min="9" max="9" width="15.28515625" style="90" customWidth="1"/>
    <col min="10" max="10" width="11.7109375" style="21" customWidth="1"/>
    <col min="11" max="16384" width="9.140625" style="21"/>
  </cols>
  <sheetData>
    <row r="1" spans="1:10" s="49" customFormat="1" ht="18.75" x14ac:dyDescent="0.25">
      <c r="B1" s="46" t="s">
        <v>0</v>
      </c>
      <c r="C1" s="46">
        <f ca="1">TODAY()</f>
        <v>46322</v>
      </c>
      <c r="E1" s="46"/>
      <c r="F1" s="46"/>
      <c r="G1" s="52" t="e">
        <f>AVERAGE(I:I)</f>
        <v>#REF!</v>
      </c>
      <c r="H1" s="49" t="s">
        <v>72</v>
      </c>
      <c r="I1" s="52"/>
    </row>
    <row r="2" spans="1:10" s="55" customFormat="1" ht="18.75" x14ac:dyDescent="0.25">
      <c r="A2" s="55" t="s">
        <v>59</v>
      </c>
      <c r="B2" s="56" t="s">
        <v>60</v>
      </c>
      <c r="C2" s="56" t="s">
        <v>66</v>
      </c>
      <c r="D2" s="55" t="s">
        <v>65</v>
      </c>
      <c r="E2" s="56" t="s">
        <v>68</v>
      </c>
      <c r="F2" s="56" t="s">
        <v>62</v>
      </c>
      <c r="G2" s="55" t="s">
        <v>69</v>
      </c>
      <c r="H2" s="55" t="s">
        <v>70</v>
      </c>
      <c r="I2" s="87" t="s">
        <v>71</v>
      </c>
      <c r="J2" s="55" t="s">
        <v>67</v>
      </c>
    </row>
    <row r="3" spans="1:10" s="58" customFormat="1" x14ac:dyDescent="0.25">
      <c r="A3" s="58" t="s">
        <v>17</v>
      </c>
      <c r="B3" s="58" t="s">
        <v>9</v>
      </c>
      <c r="C3" s="58" t="s">
        <v>10</v>
      </c>
      <c r="D3" s="58" t="s">
        <v>29</v>
      </c>
      <c r="E3" s="59">
        <v>45955</v>
      </c>
      <c r="F3" s="59">
        <v>45977</v>
      </c>
      <c r="G3" s="58">
        <f>F3-E3</f>
        <v>22</v>
      </c>
      <c r="H3" s="58">
        <v>10</v>
      </c>
      <c r="I3" s="60">
        <f>J3/H3</f>
        <v>1</v>
      </c>
      <c r="J3" s="58">
        <v>10</v>
      </c>
    </row>
    <row r="4" spans="1:10" s="58" customFormat="1" x14ac:dyDescent="0.25">
      <c r="A4" s="58" t="s">
        <v>17</v>
      </c>
      <c r="B4" s="58" t="s">
        <v>31</v>
      </c>
      <c r="C4" s="58" t="s">
        <v>42</v>
      </c>
      <c r="D4" s="58" t="s">
        <v>74</v>
      </c>
      <c r="E4" s="59">
        <v>45982</v>
      </c>
      <c r="F4" s="59">
        <v>46003</v>
      </c>
      <c r="G4" s="58">
        <f>F4-E4</f>
        <v>21</v>
      </c>
      <c r="H4" s="58">
        <v>10</v>
      </c>
      <c r="I4" s="60">
        <f>J4/H4</f>
        <v>0</v>
      </c>
    </row>
    <row r="5" spans="1:10" s="61" customFormat="1" x14ac:dyDescent="0.25">
      <c r="A5" s="58" t="s">
        <v>17</v>
      </c>
      <c r="B5" s="61" t="s">
        <v>6</v>
      </c>
      <c r="C5" s="61" t="s">
        <v>3</v>
      </c>
      <c r="D5" s="61" t="s">
        <v>29</v>
      </c>
      <c r="E5" s="62">
        <v>46005</v>
      </c>
      <c r="F5" s="62">
        <v>46026</v>
      </c>
      <c r="G5" s="61">
        <f>F5-E5</f>
        <v>21</v>
      </c>
      <c r="H5" s="61">
        <v>10</v>
      </c>
      <c r="I5" s="63" t="e">
        <f>#REF!/H5</f>
        <v>#REF!</v>
      </c>
    </row>
    <row r="6" spans="1:10" s="61" customFormat="1" x14ac:dyDescent="0.25">
      <c r="A6" s="61" t="s">
        <v>17</v>
      </c>
      <c r="B6" s="61" t="s">
        <v>9</v>
      </c>
      <c r="C6" s="61" t="s">
        <v>10</v>
      </c>
      <c r="D6" s="61" t="s">
        <v>29</v>
      </c>
      <c r="E6" s="62">
        <v>46015</v>
      </c>
      <c r="F6" s="62">
        <v>46036</v>
      </c>
      <c r="G6" s="61">
        <f>F6-E6</f>
        <v>21</v>
      </c>
      <c r="H6" s="61">
        <v>10</v>
      </c>
      <c r="I6" s="63">
        <f>J6/H6</f>
        <v>0.9</v>
      </c>
      <c r="J6" s="61">
        <v>9</v>
      </c>
    </row>
    <row r="7" spans="1:10" s="61" customFormat="1" x14ac:dyDescent="0.25">
      <c r="E7" s="62"/>
      <c r="F7" s="62"/>
      <c r="I7" s="63"/>
    </row>
    <row r="9" spans="1:10" s="64" customFormat="1" x14ac:dyDescent="0.25">
      <c r="A9" s="64" t="s">
        <v>17</v>
      </c>
      <c r="B9" s="64" t="s">
        <v>6</v>
      </c>
      <c r="C9" s="64" t="s">
        <v>3</v>
      </c>
      <c r="D9" s="64" t="s">
        <v>29</v>
      </c>
      <c r="E9" s="65">
        <v>46106</v>
      </c>
      <c r="F9" s="65">
        <v>46129</v>
      </c>
      <c r="G9" s="64">
        <f>F9-E9</f>
        <v>23</v>
      </c>
      <c r="H9" s="64">
        <v>13</v>
      </c>
      <c r="I9" s="66">
        <f>J9/H9</f>
        <v>0.61538461538461542</v>
      </c>
      <c r="J9" s="64">
        <v>8</v>
      </c>
    </row>
    <row r="10" spans="1:10" s="64" customFormat="1" x14ac:dyDescent="0.25">
      <c r="A10" s="64" t="s">
        <v>17</v>
      </c>
      <c r="B10" s="64" t="s">
        <v>80</v>
      </c>
      <c r="C10" s="64" t="s">
        <v>81</v>
      </c>
      <c r="D10" s="64" t="s">
        <v>34</v>
      </c>
      <c r="E10" s="65">
        <v>46106</v>
      </c>
      <c r="F10" s="65">
        <v>46129</v>
      </c>
      <c r="G10" s="64">
        <f>F10-E10</f>
        <v>23</v>
      </c>
      <c r="H10" s="64">
        <v>13</v>
      </c>
      <c r="I10" s="66">
        <f>J10/H10</f>
        <v>0.23076923076923078</v>
      </c>
      <c r="J10" s="64">
        <v>3</v>
      </c>
    </row>
    <row r="11" spans="1:10" s="64" customFormat="1" x14ac:dyDescent="0.25">
      <c r="A11" s="64" t="s">
        <v>17</v>
      </c>
      <c r="B11" s="64" t="s">
        <v>82</v>
      </c>
      <c r="C11" s="64" t="s">
        <v>83</v>
      </c>
      <c r="D11" s="64" t="s">
        <v>29</v>
      </c>
      <c r="E11" s="65">
        <v>46122</v>
      </c>
      <c r="F11" s="65">
        <v>46144</v>
      </c>
      <c r="G11" s="64">
        <f>F11-E11</f>
        <v>22</v>
      </c>
      <c r="H11" s="64">
        <v>13</v>
      </c>
      <c r="I11" s="66">
        <f>J11/H11</f>
        <v>0.38461538461538464</v>
      </c>
      <c r="J11" s="64">
        <v>5</v>
      </c>
    </row>
    <row r="12" spans="1:10" s="15" customFormat="1" x14ac:dyDescent="0.2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25">
      <c r="E13" s="16"/>
      <c r="F13" s="16"/>
      <c r="I13" s="33"/>
    </row>
    <row r="14" spans="1:10" s="77" customFormat="1" x14ac:dyDescent="0.25">
      <c r="B14" s="77" t="s">
        <v>84</v>
      </c>
      <c r="C14" s="77" t="s">
        <v>85</v>
      </c>
      <c r="D14" s="77" t="s">
        <v>29</v>
      </c>
      <c r="E14" s="79">
        <v>46159</v>
      </c>
      <c r="F14" s="79">
        <v>46182</v>
      </c>
      <c r="G14" s="77">
        <f>F14-E14</f>
        <v>23</v>
      </c>
      <c r="H14" s="77">
        <v>12</v>
      </c>
      <c r="I14" s="88">
        <f>J14/H14</f>
        <v>0.33333333333333331</v>
      </c>
      <c r="J14" s="77">
        <v>4</v>
      </c>
    </row>
    <row r="15" spans="1:10" s="77" customFormat="1" x14ac:dyDescent="0.25">
      <c r="B15" s="77" t="s">
        <v>86</v>
      </c>
      <c r="C15" s="77" t="s">
        <v>87</v>
      </c>
      <c r="D15" s="77" t="s">
        <v>34</v>
      </c>
      <c r="E15" s="79">
        <v>46169</v>
      </c>
      <c r="F15" s="79">
        <v>46190</v>
      </c>
      <c r="G15" s="77">
        <f>F15-E15</f>
        <v>21</v>
      </c>
      <c r="H15" s="77">
        <v>12</v>
      </c>
      <c r="I15" s="88" t="s">
        <v>88</v>
      </c>
    </row>
    <row r="16" spans="1:10" s="77" customFormat="1" x14ac:dyDescent="0.25">
      <c r="B16" s="77" t="s">
        <v>86</v>
      </c>
      <c r="C16" s="77" t="s">
        <v>87</v>
      </c>
      <c r="D16" s="77" t="s">
        <v>34</v>
      </c>
      <c r="E16" s="79">
        <v>46171</v>
      </c>
      <c r="F16" s="79">
        <v>46184</v>
      </c>
      <c r="G16" s="77">
        <f>F16-E16</f>
        <v>13</v>
      </c>
      <c r="H16" s="77">
        <v>3</v>
      </c>
      <c r="I16" s="88">
        <f>J16/H16</f>
        <v>0.33333333333333331</v>
      </c>
      <c r="J16" s="77">
        <v>1</v>
      </c>
    </row>
    <row r="17" spans="1:11" s="17" customFormat="1" x14ac:dyDescent="0.25">
      <c r="C17" s="77" t="s">
        <v>8</v>
      </c>
      <c r="D17" s="77" t="s">
        <v>29</v>
      </c>
      <c r="E17" s="79">
        <v>46188</v>
      </c>
      <c r="F17" s="79">
        <v>46209</v>
      </c>
      <c r="G17" s="77">
        <f>F17-E17</f>
        <v>21</v>
      </c>
      <c r="H17" s="77">
        <v>12</v>
      </c>
      <c r="I17" s="88">
        <f>J17/H17</f>
        <v>1</v>
      </c>
      <c r="J17" s="77">
        <v>12</v>
      </c>
      <c r="K17" s="77"/>
    </row>
    <row r="18" spans="1:11" s="77" customFormat="1" x14ac:dyDescent="0.25">
      <c r="A18" s="77" t="s">
        <v>18</v>
      </c>
      <c r="B18" s="77" t="s">
        <v>91</v>
      </c>
      <c r="C18" s="77" t="s">
        <v>90</v>
      </c>
      <c r="D18" s="77" t="s">
        <v>34</v>
      </c>
      <c r="E18" s="79">
        <v>46194</v>
      </c>
      <c r="F18" s="79">
        <v>46215</v>
      </c>
      <c r="G18" s="77">
        <f>F18-E18</f>
        <v>21</v>
      </c>
      <c r="H18" s="77">
        <v>12</v>
      </c>
      <c r="I18" s="88">
        <f>J18/H18</f>
        <v>0.66666666666666663</v>
      </c>
      <c r="J18" s="77">
        <v>8</v>
      </c>
    </row>
    <row r="19" spans="1:11" s="77" customFormat="1" x14ac:dyDescent="0.25">
      <c r="A19" s="77" t="s">
        <v>18</v>
      </c>
      <c r="B19" s="77" t="s">
        <v>7</v>
      </c>
      <c r="I19" s="88"/>
    </row>
    <row r="20" spans="1:11" s="77" customFormat="1" x14ac:dyDescent="0.25">
      <c r="B20" s="77" t="s">
        <v>6</v>
      </c>
      <c r="C20" s="77" t="s">
        <v>3</v>
      </c>
      <c r="D20" s="77" t="s">
        <v>29</v>
      </c>
      <c r="E20" s="79">
        <v>46221</v>
      </c>
      <c r="F20" s="79">
        <v>46245</v>
      </c>
      <c r="G20" s="77">
        <f t="shared" ref="G20:G25" si="0">F20-E20</f>
        <v>24</v>
      </c>
      <c r="H20" s="77">
        <v>12</v>
      </c>
      <c r="I20" s="88">
        <f t="shared" ref="I20:I25" si="1">J20/H20</f>
        <v>0.91666666666666663</v>
      </c>
      <c r="J20" s="77">
        <v>11</v>
      </c>
    </row>
    <row r="21" spans="1:11" s="77" customFormat="1" x14ac:dyDescent="0.25">
      <c r="B21" s="77" t="s">
        <v>9</v>
      </c>
      <c r="C21" s="77" t="s">
        <v>10</v>
      </c>
      <c r="D21" s="77" t="s">
        <v>29</v>
      </c>
      <c r="E21" s="79">
        <v>46223</v>
      </c>
      <c r="F21" s="79">
        <v>46245</v>
      </c>
      <c r="G21" s="77">
        <f t="shared" si="0"/>
        <v>22</v>
      </c>
      <c r="H21" s="77">
        <v>12</v>
      </c>
      <c r="I21" s="88">
        <f t="shared" si="1"/>
        <v>0.58333333333333337</v>
      </c>
      <c r="J21" s="77">
        <v>7</v>
      </c>
    </row>
    <row r="22" spans="1:11" s="77" customFormat="1" x14ac:dyDescent="0.25">
      <c r="B22" s="77" t="s">
        <v>80</v>
      </c>
      <c r="C22" s="77" t="s">
        <v>81</v>
      </c>
      <c r="D22" s="77" t="s">
        <v>34</v>
      </c>
      <c r="E22" s="79" t="s">
        <v>94</v>
      </c>
      <c r="F22" s="79">
        <f ca="1">TODAY()</f>
        <v>46322</v>
      </c>
      <c r="G22" s="77" t="e">
        <f t="shared" ca="1" si="0"/>
        <v>#VALUE!</v>
      </c>
      <c r="I22" s="88" t="e">
        <f t="shared" si="1"/>
        <v>#DIV/0!</v>
      </c>
    </row>
    <row r="23" spans="1:11" s="77" customFormat="1" x14ac:dyDescent="0.25">
      <c r="B23" s="77" t="s">
        <v>92</v>
      </c>
      <c r="C23" s="77" t="s">
        <v>93</v>
      </c>
      <c r="D23" s="77" t="s">
        <v>29</v>
      </c>
      <c r="E23" s="79">
        <v>46237</v>
      </c>
      <c r="F23" s="79">
        <v>46260</v>
      </c>
      <c r="G23" s="77">
        <f t="shared" si="0"/>
        <v>23</v>
      </c>
      <c r="H23" s="77">
        <v>10</v>
      </c>
      <c r="I23" s="88">
        <f t="shared" si="1"/>
        <v>0.6</v>
      </c>
      <c r="J23" s="77">
        <v>6</v>
      </c>
    </row>
    <row r="24" spans="1:11" s="77" customFormat="1" x14ac:dyDescent="0.25">
      <c r="A24" s="77" t="s">
        <v>18</v>
      </c>
      <c r="B24" s="77" t="s">
        <v>91</v>
      </c>
      <c r="C24" s="77" t="s">
        <v>90</v>
      </c>
      <c r="D24" s="77" t="s">
        <v>34</v>
      </c>
      <c r="E24" s="79">
        <v>46297</v>
      </c>
      <c r="F24" s="79">
        <v>46318</v>
      </c>
      <c r="G24" s="77">
        <f t="shared" si="0"/>
        <v>21</v>
      </c>
      <c r="H24" s="77">
        <v>12</v>
      </c>
      <c r="I24" s="88">
        <f t="shared" si="1"/>
        <v>0.66666666666666663</v>
      </c>
      <c r="J24" s="77">
        <v>8</v>
      </c>
    </row>
    <row r="25" spans="1:11" s="77" customFormat="1" x14ac:dyDescent="0.25">
      <c r="B25" s="77" t="s">
        <v>96</v>
      </c>
      <c r="C25" s="77" t="s">
        <v>97</v>
      </c>
      <c r="D25" s="77" t="s">
        <v>29</v>
      </c>
      <c r="E25" s="79">
        <v>46291</v>
      </c>
      <c r="F25" s="79">
        <v>46312</v>
      </c>
      <c r="G25" s="77">
        <f t="shared" si="0"/>
        <v>21</v>
      </c>
      <c r="H25" s="77">
        <v>12</v>
      </c>
      <c r="I25" s="88">
        <f t="shared" si="1"/>
        <v>0</v>
      </c>
    </row>
    <row r="27" spans="1:11" s="78" customFormat="1" x14ac:dyDescent="0.25">
      <c r="B27" s="78" t="s">
        <v>76</v>
      </c>
      <c r="C27" s="78" t="s">
        <v>77</v>
      </c>
      <c r="D27" s="78" t="s">
        <v>29</v>
      </c>
      <c r="E27" s="80">
        <v>46316</v>
      </c>
      <c r="F27" s="80">
        <v>46337</v>
      </c>
      <c r="G27" s="78">
        <f>F27-E27</f>
        <v>21</v>
      </c>
      <c r="H27" s="78">
        <v>12</v>
      </c>
      <c r="I27" s="89">
        <f>J27/H27</f>
        <v>0</v>
      </c>
    </row>
    <row r="29" spans="1:11" s="78" customFormat="1" x14ac:dyDescent="0.25">
      <c r="E29" s="80"/>
      <c r="F29" s="80"/>
      <c r="I29" s="89"/>
    </row>
    <row r="30" spans="1:11" s="78" customFormat="1" x14ac:dyDescent="0.25">
      <c r="E30" s="80"/>
      <c r="F30" s="80"/>
      <c r="I30" s="89"/>
    </row>
    <row r="31" spans="1:11" s="78" customFormat="1" x14ac:dyDescent="0.25">
      <c r="E31" s="80"/>
      <c r="F31" s="80"/>
      <c r="I31" s="89"/>
    </row>
    <row r="32" spans="1:11" s="30" customFormat="1" x14ac:dyDescent="0.25">
      <c r="A32" s="30" t="s">
        <v>75</v>
      </c>
      <c r="B32" s="30" t="s">
        <v>31</v>
      </c>
      <c r="C32" s="30" t="s">
        <v>42</v>
      </c>
      <c r="D32" s="31" t="s">
        <v>74</v>
      </c>
      <c r="E32" s="31">
        <v>45996</v>
      </c>
      <c r="F32" s="31"/>
      <c r="I32" s="32"/>
    </row>
    <row r="34" spans="1:10" s="61" customFormat="1" x14ac:dyDescent="0.25">
      <c r="A34" s="58"/>
      <c r="B34" s="61" t="s">
        <v>76</v>
      </c>
      <c r="C34" s="61" t="s">
        <v>77</v>
      </c>
      <c r="D34" s="61" t="s">
        <v>29</v>
      </c>
      <c r="E34" s="62">
        <v>46060</v>
      </c>
      <c r="F34" s="62">
        <v>46081</v>
      </c>
      <c r="G34" s="61">
        <f>F34-E34</f>
        <v>21</v>
      </c>
      <c r="H34" s="61">
        <v>12</v>
      </c>
      <c r="I34" s="63">
        <f>J34/H34</f>
        <v>0.83333333333333337</v>
      </c>
      <c r="J34" s="61">
        <v>10</v>
      </c>
    </row>
    <row r="35" spans="1:10" s="61" customFormat="1" x14ac:dyDescent="0.25">
      <c r="B35" s="61" t="s">
        <v>7</v>
      </c>
      <c r="C35" s="61" t="s">
        <v>8</v>
      </c>
      <c r="D35" s="61" t="s">
        <v>29</v>
      </c>
      <c r="E35" s="62">
        <v>46067</v>
      </c>
      <c r="F35" s="62">
        <v>46088</v>
      </c>
      <c r="G35" s="61">
        <f>F35-E35</f>
        <v>21</v>
      </c>
      <c r="H35" s="61">
        <v>12</v>
      </c>
      <c r="I35" s="63">
        <f>J35/H35</f>
        <v>0.41666666666666669</v>
      </c>
      <c r="J35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6435F-C97E-4183-A722-401AF44A76BE}">
  <dimension ref="A2:H15"/>
  <sheetViews>
    <sheetView workbookViewId="0">
      <selection activeCell="A3" sqref="A3"/>
    </sheetView>
  </sheetViews>
  <sheetFormatPr defaultRowHeight="15" x14ac:dyDescent="0.25"/>
  <cols>
    <col min="1" max="1" width="10.7109375" style="82" bestFit="1" customWidth="1"/>
    <col min="2" max="2" width="9.140625" style="82"/>
    <col min="3" max="3" width="9.140625" style="83"/>
    <col min="4" max="4" width="11.5703125" style="82" customWidth="1"/>
    <col min="5" max="6" width="9.140625" style="82"/>
    <col min="7" max="7" width="13.42578125" style="82" customWidth="1"/>
    <col min="8" max="16384" width="9.140625" style="82"/>
  </cols>
  <sheetData>
    <row r="2" spans="1:8" x14ac:dyDescent="0.25">
      <c r="A2" s="86">
        <v>46319</v>
      </c>
    </row>
    <row r="4" spans="1:8" x14ac:dyDescent="0.25">
      <c r="A4" s="82">
        <v>1</v>
      </c>
      <c r="B4" s="82" t="s">
        <v>98</v>
      </c>
      <c r="C4" s="83">
        <v>50</v>
      </c>
      <c r="D4" s="83">
        <f>C4*A4</f>
        <v>50</v>
      </c>
      <c r="G4" s="84" t="s">
        <v>103</v>
      </c>
      <c r="H4" s="82">
        <f>SUM(A:A)</f>
        <v>46331</v>
      </c>
    </row>
    <row r="5" spans="1:8" x14ac:dyDescent="0.25">
      <c r="A5" s="82">
        <v>1</v>
      </c>
      <c r="B5" s="82" t="s">
        <v>99</v>
      </c>
      <c r="C5" s="83">
        <v>50</v>
      </c>
      <c r="D5" s="83">
        <f t="shared" ref="D5:D9" si="0">C5*A5</f>
        <v>50</v>
      </c>
      <c r="G5" s="84" t="s">
        <v>102</v>
      </c>
      <c r="H5" s="83">
        <f>SUM(D:D)</f>
        <v>400</v>
      </c>
    </row>
    <row r="6" spans="1:8" x14ac:dyDescent="0.25">
      <c r="A6" s="82">
        <v>2</v>
      </c>
      <c r="B6" s="82" t="s">
        <v>100</v>
      </c>
      <c r="C6" s="83">
        <v>35</v>
      </c>
      <c r="D6" s="83">
        <f t="shared" si="0"/>
        <v>70</v>
      </c>
      <c r="G6" s="85" t="s">
        <v>104</v>
      </c>
      <c r="H6" s="83">
        <f>H5/4</f>
        <v>100</v>
      </c>
    </row>
    <row r="7" spans="1:8" x14ac:dyDescent="0.25">
      <c r="A7" s="82">
        <v>5</v>
      </c>
      <c r="B7" s="82" t="s">
        <v>100</v>
      </c>
      <c r="C7" s="83">
        <v>30</v>
      </c>
      <c r="D7" s="83">
        <f t="shared" si="0"/>
        <v>150</v>
      </c>
      <c r="G7" s="85" t="s">
        <v>105</v>
      </c>
      <c r="H7" s="83">
        <f>H5-H6</f>
        <v>300</v>
      </c>
    </row>
    <row r="8" spans="1:8" x14ac:dyDescent="0.25">
      <c r="A8" s="82">
        <v>2</v>
      </c>
      <c r="B8" s="82" t="s">
        <v>100</v>
      </c>
      <c r="C8" s="83">
        <v>25</v>
      </c>
      <c r="D8" s="83">
        <f t="shared" si="0"/>
        <v>50</v>
      </c>
      <c r="G8" s="85" t="s">
        <v>106</v>
      </c>
      <c r="H8" s="83">
        <v>250</v>
      </c>
    </row>
    <row r="9" spans="1:8" x14ac:dyDescent="0.25">
      <c r="A9" s="82">
        <v>1</v>
      </c>
      <c r="B9" s="82" t="s">
        <v>101</v>
      </c>
      <c r="C9" s="83">
        <v>30</v>
      </c>
      <c r="D9" s="83">
        <f t="shared" si="0"/>
        <v>30</v>
      </c>
    </row>
    <row r="12" spans="1:8" x14ac:dyDescent="0.25">
      <c r="C12" s="82"/>
    </row>
    <row r="13" spans="1:8" x14ac:dyDescent="0.25">
      <c r="C13" s="82"/>
    </row>
    <row r="14" spans="1:8" x14ac:dyDescent="0.25">
      <c r="C14" s="82"/>
    </row>
    <row r="15" spans="1:8" x14ac:dyDescent="0.25">
      <c r="C15" s="8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Martinho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2026-10-27T17:12:06Z</dcterms:modified>
</cp:coreProperties>
</file>