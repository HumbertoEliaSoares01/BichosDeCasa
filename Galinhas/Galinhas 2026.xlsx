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451FCF10-D848-4BE6-8D3E-634B6CDA3249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2" l="1"/>
  <c r="G6" i="2" s="1"/>
  <c r="G1" i="2"/>
  <c r="E9" i="2" l="1"/>
  <c r="G9" i="2" s="1"/>
  <c r="E10" i="2"/>
  <c r="G10" i="2" s="1"/>
  <c r="G13" i="3"/>
  <c r="I13" i="3"/>
  <c r="I12" i="3" l="1"/>
  <c r="G12" i="3"/>
  <c r="E8" i="2" l="1"/>
  <c r="G8" i="2" s="1"/>
  <c r="E7" i="2" l="1"/>
  <c r="G7" i="2" s="1"/>
  <c r="D51" i="1"/>
  <c r="F51" i="1" s="1"/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<sst xmlns="http://schemas.openxmlformats.org/spreadsheetml/2006/main" count="337" uniqueCount="84">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</sst>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46089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46089</v>
      </c>
      <c r="F11" s="15">
        <f t="shared" ref="F11:F18" ca="1" si="3">E11-D11</f>
        <v>282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46089</v>
      </c>
      <c r="F15" s="17">
        <f t="shared" ca="1" si="3"/>
        <v>282</v>
      </c>
      <c r="G15" s="17">
        <v>14</v>
      </c>
      <c r="H15" s="22">
        <f t="shared" ca="1" si="1"/>
        <v>4.9645390070921988E-2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46089</v>
      </c>
      <c r="F19" s="12">
        <f t="shared" ref="F19:F20" ca="1" si="4">E19-D19</f>
        <v>211</v>
      </c>
      <c r="G19" s="15">
        <v>15</v>
      </c>
      <c r="H19" s="14">
        <f ca="1">G19/F19</f>
        <v>7.1090047393364927E-2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-179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-179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46089</v>
      </c>
      <c r="F24" s="19">
        <f ca="1">E24-D24</f>
        <v>185</v>
      </c>
      <c r="G24" s="19">
        <v>3</v>
      </c>
      <c r="H24" s="14">
        <f ca="1">G24/F24</f>
        <v>1.6216216216216217E-2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46089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46089</v>
      </c>
      <c r="F26" s="19">
        <f ca="1">E26-D26</f>
        <v>185</v>
      </c>
      <c r="G26" s="19">
        <v>3</v>
      </c>
      <c r="H26" s="14">
        <f t="shared" ca="1" si="7"/>
        <v>1.6216216216216217E-2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46089</v>
      </c>
      <c r="F27" s="19">
        <f ca="1">E27-D27</f>
        <v>185</v>
      </c>
      <c r="G27" s="19">
        <v>3</v>
      </c>
      <c r="H27" s="14">
        <f t="shared" ref="H27" ca="1" si="8">G27/F27</f>
        <v>1.6216216216216217E-2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46089</v>
      </c>
      <c r="E41" s="37">
        <v>45910</v>
      </c>
      <c r="F41" s="28">
        <f ca="1">D41-E41</f>
        <v>179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46089</v>
      </c>
      <c r="E42" s="18">
        <v>45947</v>
      </c>
      <c r="F42" s="17">
        <f ca="1">D42-E42</f>
        <v>142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46089</v>
      </c>
      <c r="E43" s="18">
        <v>45953</v>
      </c>
      <c r="F43" s="17">
        <f t="shared" ref="F43:F44" ca="1" si="9">D43-E43</f>
        <v>136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46089</v>
      </c>
      <c r="E44" s="18">
        <v>45956</v>
      </c>
      <c r="F44" s="17">
        <f t="shared" ca="1" si="9"/>
        <v>133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46089</v>
      </c>
      <c r="F46" s="19">
        <f ca="1">E46-D46</f>
        <v>280</v>
      </c>
      <c r="G46" s="19" t="s">
        <v>71</v>
      </c>
      <c r="H46" s="55">
        <f ca="1">F46*2</f>
        <v>560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46089</v>
      </c>
      <c r="F47" s="19">
        <f t="shared" ref="F47:F48" ca="1" si="11">E47-D47</f>
        <v>146</v>
      </c>
      <c r="G47" s="19" t="s">
        <v>71</v>
      </c>
      <c r="H47" s="55">
        <f t="shared" ref="H47:H48" ca="1" si="12">F47*2</f>
        <v>292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46089</v>
      </c>
      <c r="F48" s="19">
        <f t="shared" ca="1" si="11"/>
        <v>128</v>
      </c>
      <c r="G48" s="19" t="s">
        <v>71</v>
      </c>
      <c r="H48" s="55">
        <f t="shared" ca="1" si="12"/>
        <v>256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46089</v>
      </c>
      <c r="E51" s="18">
        <v>46027</v>
      </c>
      <c r="F51" s="17">
        <f ca="1">D51-E51</f>
        <v>62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abSelected="1"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46089</v>
      </c>
      <c r="E1" s="46"/>
      <c r="F1" s="46"/>
      <c r="G1" s="49">
        <f>SUM(J7:J10)</f>
        <v>14</v>
      </c>
      <c r="H1" s="49" t="s">
        <v>68</v>
      </c>
      <c r="I1" s="67"/>
      <c r="J1" s="67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46089</v>
      </c>
      <c r="F3" s="18">
        <v>45947</v>
      </c>
      <c r="G3" s="17">
        <f t="shared" ref="G3:G8" ca="1" si="0">E3-F3</f>
        <v>142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46089</v>
      </c>
      <c r="F4" s="18">
        <v>45953</v>
      </c>
      <c r="G4" s="17">
        <f t="shared" ca="1" si="0"/>
        <v>136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46089</v>
      </c>
      <c r="F5" s="18">
        <v>45956</v>
      </c>
      <c r="G5" s="17">
        <f t="shared" ca="1" si="0"/>
        <v>133</v>
      </c>
      <c r="H5" s="17" t="s">
        <v>54</v>
      </c>
      <c r="I5" s="17">
        <v>8</v>
      </c>
      <c r="J5" s="17">
        <v>4</v>
      </c>
    </row>
    <row r="6" spans="1:11" s="65" customFormat="1" x14ac:dyDescent="0.35">
      <c r="A6" s="65" t="s">
        <v>18</v>
      </c>
      <c r="B6" s="65" t="s">
        <v>4</v>
      </c>
      <c r="C6" s="65" t="s">
        <v>1</v>
      </c>
      <c r="D6" s="65" t="s">
        <v>30</v>
      </c>
      <c r="E6" s="66">
        <f t="shared" ref="E6:E10" ca="1" si="1">TODAY()</f>
        <v>46089</v>
      </c>
      <c r="F6" s="66">
        <v>45910</v>
      </c>
      <c r="G6" s="65">
        <f t="shared" ca="1" si="0"/>
        <v>179</v>
      </c>
      <c r="H6" s="65" t="s">
        <v>54</v>
      </c>
      <c r="I6" s="65">
        <v>6</v>
      </c>
      <c r="J6" s="65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46089</v>
      </c>
      <c r="F7" s="18">
        <v>46027</v>
      </c>
      <c r="G7" s="17">
        <f t="shared" ca="1" si="0"/>
        <v>62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46089</v>
      </c>
      <c r="F8" s="18">
        <v>46036</v>
      </c>
      <c r="G8" s="17">
        <f t="shared" ca="1" si="0"/>
        <v>53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46089</v>
      </c>
      <c r="F9" s="18">
        <v>46082</v>
      </c>
      <c r="G9" s="17">
        <f t="shared" ref="G9:G10" ca="1" si="2">E9-F9</f>
        <v>7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46089</v>
      </c>
      <c r="F10" s="18">
        <v>46089</v>
      </c>
      <c r="G10" s="17">
        <f t="shared" ca="1" si="2"/>
        <v>0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3"/>
  <sheetViews>
    <sheetView topLeftCell="E1" workbookViewId="0">
      <pane ySplit="2" topLeftCell="A9" activePane="bottomLeft" state="frozen"/>
      <selection pane="bottomLeft" activeCell="E12" sqref="A12:XFD13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46089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5" x14ac:dyDescent="0.3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3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3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3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3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0.9</v>
      </c>
      <c r="J8" s="15">
        <v>9</v>
      </c>
    </row>
    <row r="10" spans="1:10" s="30" customFormat="1" x14ac:dyDescent="0.3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  <row r="12" spans="1:10" s="56" customFormat="1" x14ac:dyDescent="0.35">
      <c r="B12" s="56" t="s">
        <v>80</v>
      </c>
      <c r="C12" s="56" t="s">
        <v>81</v>
      </c>
      <c r="D12" s="56" t="s">
        <v>29</v>
      </c>
      <c r="E12" s="57">
        <v>46060</v>
      </c>
      <c r="F12" s="57">
        <v>46081</v>
      </c>
      <c r="G12" s="56">
        <f>F12-E12</f>
        <v>21</v>
      </c>
      <c r="H12" s="56">
        <v>12</v>
      </c>
      <c r="I12" s="58">
        <f>J12/H12</f>
        <v>0.83333333333333337</v>
      </c>
      <c r="J12" s="56">
        <v>10</v>
      </c>
    </row>
    <row r="13" spans="1:10" s="56" customFormat="1" x14ac:dyDescent="0.35">
      <c r="B13" s="56" t="s">
        <v>7</v>
      </c>
      <c r="C13" s="56" t="s">
        <v>8</v>
      </c>
      <c r="D13" s="56" t="s">
        <v>29</v>
      </c>
      <c r="E13" s="57">
        <v>46067</v>
      </c>
      <c r="F13" s="57">
        <v>46088</v>
      </c>
      <c r="G13" s="56">
        <f>F13-E13</f>
        <v>21</v>
      </c>
      <c r="H13" s="56">
        <v>12</v>
      </c>
      <c r="I13" s="58">
        <f>J13/H13</f>
        <v>0.41666666666666669</v>
      </c>
      <c r="J13" s="56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46089</v>
      </c>
      <c r="F2" s="19">
        <f ca="1">E2-D2</f>
        <v>280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46089</v>
      </c>
      <c r="F3" s="19">
        <f ca="1">E3-D3</f>
        <v>128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2026-03-08T12:42:20Z</dcterms:modified>
</cp:coreProperties>
</file>