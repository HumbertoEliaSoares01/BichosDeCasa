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97CB6D2C-3BE5-4340-8B48-12489AF69BA3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" i="2" l="1"/>
  <c r="G11" i="2" s="1"/>
  <c r="E12" i="2"/>
  <c r="G12" i="2" s="1"/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19" i="3"/>
  <c r="I19" i="3"/>
  <c r="I18" i="3" l="1"/>
  <c r="G18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<sst xmlns="http://schemas.openxmlformats.org/spreadsheetml/2006/main" count="359" uniqueCount="88">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</sst>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46133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46133</v>
      </c>
      <c r="F11" s="15">
        <f t="shared" ref="F11:F18" ca="1" si="3">E11-D11</f>
        <v>326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46133</v>
      </c>
      <c r="F15" s="17">
        <f t="shared" ca="1" si="3"/>
        <v>326</v>
      </c>
      <c r="G15" s="17">
        <v>14</v>
      </c>
      <c r="H15" s="22">
        <f t="shared" ca="1" si="1"/>
        <v>4.2944785276073622E-2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46133</v>
      </c>
      <c r="F19" s="12">
        <f t="shared" ref="F19:F20" ca="1" si="4">E19-D19</f>
        <v>255</v>
      </c>
      <c r="G19" s="15">
        <v>15</v>
      </c>
      <c r="H19" s="14">
        <f ca="1">G19/F19</f>
        <v>5.8823529411764705E-2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-223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-223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46133</v>
      </c>
      <c r="F24" s="19">
        <f ca="1">E24-D24</f>
        <v>229</v>
      </c>
      <c r="G24" s="19">
        <v>3</v>
      </c>
      <c r="H24" s="14">
        <f ca="1">G24/F24</f>
        <v>1.3100436681222707E-2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46133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46133</v>
      </c>
      <c r="F26" s="19">
        <f ca="1">E26-D26</f>
        <v>229</v>
      </c>
      <c r="G26" s="19">
        <v>3</v>
      </c>
      <c r="H26" s="14">
        <f t="shared" ca="1" si="7"/>
        <v>1.3100436681222707E-2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46133</v>
      </c>
      <c r="F27" s="19">
        <f ca="1">E27-D27</f>
        <v>229</v>
      </c>
      <c r="G27" s="19">
        <v>3</v>
      </c>
      <c r="H27" s="14">
        <f t="shared" ref="H27" ca="1" si="8">G27/F27</f>
        <v>1.3100436681222707E-2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46133</v>
      </c>
      <c r="E41" s="37">
        <v>45910</v>
      </c>
      <c r="F41" s="28">
        <f ca="1">D41-E41</f>
        <v>223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46133</v>
      </c>
      <c r="E42" s="18">
        <v>45947</v>
      </c>
      <c r="F42" s="17">
        <f ca="1">D42-E42</f>
        <v>186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46133</v>
      </c>
      <c r="E43" s="18">
        <v>45953</v>
      </c>
      <c r="F43" s="17">
        <f t="shared" ref="F43:F44" ca="1" si="9">D43-E43</f>
        <v>180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46133</v>
      </c>
      <c r="E44" s="18">
        <v>45956</v>
      </c>
      <c r="F44" s="17">
        <f t="shared" ca="1" si="9"/>
        <v>177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46133</v>
      </c>
      <c r="F46" s="19">
        <f ca="1">E46-D46</f>
        <v>324</v>
      </c>
      <c r="G46" s="19" t="s">
        <v>71</v>
      </c>
      <c r="H46" s="55">
        <f ca="1">F46*2</f>
        <v>648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46133</v>
      </c>
      <c r="F47" s="19">
        <f t="shared" ref="F47:F48" ca="1" si="11">E47-D47</f>
        <v>190</v>
      </c>
      <c r="G47" s="19" t="s">
        <v>71</v>
      </c>
      <c r="H47" s="55">
        <f t="shared" ref="H47:H48" ca="1" si="12">F47*2</f>
        <v>380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46133</v>
      </c>
      <c r="F48" s="19">
        <f t="shared" ca="1" si="11"/>
        <v>172</v>
      </c>
      <c r="G48" s="19" t="s">
        <v>71</v>
      </c>
      <c r="H48" s="55">
        <f t="shared" ca="1" si="12"/>
        <v>344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46133</v>
      </c>
      <c r="E51" s="18">
        <v>46027</v>
      </c>
      <c r="F51" s="17">
        <f ca="1">D51-E51</f>
        <v>106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9"/>
  <sheetViews>
    <sheetView tabSelected="1" topLeftCell="C1" workbookViewId="0">
      <pane ySplit="2" topLeftCell="A3" activePane="bottomLeft" state="frozen"/>
      <selection pane="bottomLeft" activeCell="G14" sqref="G14:G15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0" s="49" customFormat="1" ht="18.5" x14ac:dyDescent="0.35">
      <c r="B1" s="46" t="s">
        <v>0</v>
      </c>
      <c r="C1" s="46">
        <f ca="1">TODAY()</f>
        <v>46133</v>
      </c>
      <c r="E1" s="46"/>
      <c r="F1" s="46"/>
      <c r="G1" s="49">
        <f>SUM(J7:J10)</f>
        <v>14</v>
      </c>
      <c r="H1" s="49" t="s">
        <v>68</v>
      </c>
      <c r="I1" s="58"/>
      <c r="J1" s="58"/>
    </row>
    <row r="2" spans="1:10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0" s="67" customFormat="1" x14ac:dyDescent="0.35">
      <c r="A3" s="67" t="s">
        <v>18</v>
      </c>
      <c r="B3" s="67" t="s">
        <v>6</v>
      </c>
      <c r="C3" s="67" t="s">
        <v>3</v>
      </c>
      <c r="D3" s="67" t="s">
        <v>29</v>
      </c>
      <c r="E3" s="68">
        <f ca="1">TODAY()</f>
        <v>46133</v>
      </c>
      <c r="F3" s="68">
        <v>45947</v>
      </c>
      <c r="G3" s="67">
        <f t="shared" ref="G3:G8" ca="1" si="0">E3-F3</f>
        <v>186</v>
      </c>
      <c r="H3" s="67" t="s">
        <v>54</v>
      </c>
      <c r="I3" s="67">
        <v>4</v>
      </c>
      <c r="J3" s="67">
        <v>0</v>
      </c>
    </row>
    <row r="4" spans="1:10" s="67" customFormat="1" x14ac:dyDescent="0.35">
      <c r="A4" s="67" t="s">
        <v>18</v>
      </c>
      <c r="B4" s="67" t="s">
        <v>57</v>
      </c>
      <c r="C4" s="67" t="s">
        <v>56</v>
      </c>
      <c r="D4" s="67" t="s">
        <v>34</v>
      </c>
      <c r="E4" s="68">
        <f ca="1">TODAY()</f>
        <v>46133</v>
      </c>
      <c r="F4" s="68">
        <v>45953</v>
      </c>
      <c r="G4" s="67">
        <f t="shared" ca="1" si="0"/>
        <v>180</v>
      </c>
      <c r="H4" s="67" t="s">
        <v>54</v>
      </c>
      <c r="I4" s="67">
        <v>8</v>
      </c>
      <c r="J4" s="67">
        <v>0</v>
      </c>
    </row>
    <row r="5" spans="1:10" s="67" customFormat="1" x14ac:dyDescent="0.35">
      <c r="A5" s="67" t="s">
        <v>18</v>
      </c>
      <c r="B5" s="67" t="s">
        <v>7</v>
      </c>
      <c r="C5" s="67" t="s">
        <v>8</v>
      </c>
      <c r="D5" s="67" t="s">
        <v>29</v>
      </c>
      <c r="E5" s="68">
        <f ca="1">TODAY()</f>
        <v>46133</v>
      </c>
      <c r="F5" s="68">
        <v>45956</v>
      </c>
      <c r="G5" s="67">
        <f t="shared" ca="1" si="0"/>
        <v>177</v>
      </c>
      <c r="H5" s="67" t="s">
        <v>54</v>
      </c>
      <c r="I5" s="67">
        <v>8</v>
      </c>
      <c r="J5" s="67">
        <v>4</v>
      </c>
    </row>
    <row r="6" spans="1:10" s="70" customFormat="1" x14ac:dyDescent="0.35">
      <c r="A6" s="70" t="s">
        <v>18</v>
      </c>
      <c r="B6" s="70" t="s">
        <v>4</v>
      </c>
      <c r="C6" s="70" t="s">
        <v>1</v>
      </c>
      <c r="D6" s="70" t="s">
        <v>30</v>
      </c>
      <c r="E6" s="71">
        <f t="shared" ref="E6:E12" ca="1" si="1">TODAY()</f>
        <v>46133</v>
      </c>
      <c r="F6" s="71">
        <v>45910</v>
      </c>
      <c r="G6" s="70">
        <f t="shared" ca="1" si="0"/>
        <v>223</v>
      </c>
      <c r="H6" s="70" t="s">
        <v>54</v>
      </c>
      <c r="I6" s="70">
        <v>6</v>
      </c>
      <c r="J6" s="70">
        <v>1</v>
      </c>
    </row>
    <row r="7" spans="1:10" s="67" customFormat="1" x14ac:dyDescent="0.35">
      <c r="A7" s="67" t="s">
        <v>18</v>
      </c>
      <c r="B7" s="67" t="s">
        <v>6</v>
      </c>
      <c r="C7" s="67" t="s">
        <v>3</v>
      </c>
      <c r="D7" s="67" t="s">
        <v>29</v>
      </c>
      <c r="E7" s="68">
        <f ca="1">TODAY()</f>
        <v>46133</v>
      </c>
      <c r="F7" s="68">
        <v>46027</v>
      </c>
      <c r="G7" s="67">
        <f t="shared" ca="1" si="0"/>
        <v>106</v>
      </c>
      <c r="H7" s="67" t="s">
        <v>54</v>
      </c>
      <c r="I7" s="67">
        <v>7</v>
      </c>
      <c r="J7" s="67">
        <v>1</v>
      </c>
    </row>
    <row r="8" spans="1:10" s="74" customFormat="1" x14ac:dyDescent="0.35">
      <c r="A8" s="74" t="s">
        <v>18</v>
      </c>
      <c r="B8" s="74" t="s">
        <v>9</v>
      </c>
      <c r="C8" s="74" t="s">
        <v>10</v>
      </c>
      <c r="D8" s="74" t="s">
        <v>29</v>
      </c>
      <c r="E8" s="75">
        <f ca="1">TODAY()</f>
        <v>46133</v>
      </c>
      <c r="F8" s="75">
        <v>46036</v>
      </c>
      <c r="G8" s="74">
        <f t="shared" ca="1" si="0"/>
        <v>97</v>
      </c>
      <c r="H8" s="74" t="s">
        <v>54</v>
      </c>
      <c r="I8" s="74">
        <v>9</v>
      </c>
      <c r="J8" s="74">
        <v>3</v>
      </c>
    </row>
    <row r="9" spans="1:10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46133</v>
      </c>
      <c r="F9" s="18">
        <v>46082</v>
      </c>
      <c r="G9" s="17">
        <f ca="1">E9-F9</f>
        <v>51</v>
      </c>
      <c r="H9" s="17" t="s">
        <v>54</v>
      </c>
      <c r="I9" s="17">
        <v>10</v>
      </c>
      <c r="J9" s="17">
        <v>5</v>
      </c>
    </row>
    <row r="10" spans="1:10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46133</v>
      </c>
      <c r="F10" s="18">
        <v>46089</v>
      </c>
      <c r="G10" s="17">
        <f t="shared" ref="G9:G12" ca="1" si="2">E10-F10</f>
        <v>44</v>
      </c>
      <c r="H10" s="17" t="s">
        <v>54</v>
      </c>
      <c r="I10" s="17">
        <v>10</v>
      </c>
      <c r="J10" s="17">
        <v>5</v>
      </c>
    </row>
    <row r="11" spans="1:10" s="72" customFormat="1" x14ac:dyDescent="0.35">
      <c r="A11" s="72" t="s">
        <v>17</v>
      </c>
      <c r="B11" s="72" t="s">
        <v>6</v>
      </c>
      <c r="C11" s="72" t="s">
        <v>3</v>
      </c>
      <c r="D11" s="72" t="s">
        <v>29</v>
      </c>
      <c r="E11" s="18">
        <f t="shared" ca="1" si="1"/>
        <v>46133</v>
      </c>
      <c r="F11" s="73">
        <v>46129</v>
      </c>
      <c r="G11" s="17">
        <f t="shared" ca="1" si="2"/>
        <v>4</v>
      </c>
      <c r="H11" s="72">
        <v>13</v>
      </c>
      <c r="I11" s="72">
        <v>8</v>
      </c>
      <c r="J11" s="72">
        <v>8</v>
      </c>
    </row>
    <row r="12" spans="1:10" s="72" customFormat="1" x14ac:dyDescent="0.35">
      <c r="C12" s="72" t="s">
        <v>85</v>
      </c>
      <c r="D12" s="72" t="s">
        <v>34</v>
      </c>
      <c r="E12" s="18">
        <f t="shared" ca="1" si="1"/>
        <v>46133</v>
      </c>
      <c r="F12" s="73">
        <v>46129</v>
      </c>
      <c r="G12" s="17">
        <f t="shared" ca="1" si="2"/>
        <v>4</v>
      </c>
      <c r="H12" s="72">
        <v>13</v>
      </c>
      <c r="I12" s="72">
        <v>3</v>
      </c>
      <c r="J12" s="72">
        <v>3</v>
      </c>
    </row>
    <row r="13" spans="1:10" s="15" customFormat="1" x14ac:dyDescent="0.35">
      <c r="E13" s="16"/>
      <c r="F13" s="18"/>
      <c r="I13" s="33"/>
    </row>
    <row r="14" spans="1:10" s="15" customFormat="1" x14ac:dyDescent="0.35">
      <c r="E14" s="16"/>
      <c r="F14" s="18"/>
      <c r="I14" s="33"/>
    </row>
    <row r="15" spans="1:10" s="17" customFormat="1" x14ac:dyDescent="0.35">
      <c r="E15" s="18"/>
      <c r="F15" s="18"/>
    </row>
    <row r="16" spans="1:10" s="30" customFormat="1" x14ac:dyDescent="0.35">
      <c r="A16" s="30" t="s">
        <v>35</v>
      </c>
      <c r="B16" s="30" t="s">
        <v>57</v>
      </c>
      <c r="C16" s="30" t="s">
        <v>56</v>
      </c>
      <c r="D16" s="31" t="s">
        <v>34</v>
      </c>
      <c r="E16" s="31">
        <v>45997</v>
      </c>
      <c r="H16" s="32"/>
    </row>
    <row r="19" spans="6:11" x14ac:dyDescent="0.35">
      <c r="F19" s="18"/>
      <c r="G19" s="17"/>
      <c r="H19" s="17"/>
      <c r="I19" s="22"/>
      <c r="J19" s="17"/>
      <c r="K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9"/>
  <sheetViews>
    <sheetView workbookViewId="0">
      <pane ySplit="2" topLeftCell="A3" activePane="bottomLeft" state="frozen"/>
      <selection pane="bottomLeft" activeCell="A11" sqref="A11:XFD11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46133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17" customFormat="1" x14ac:dyDescent="0.35">
      <c r="A11" s="17" t="s">
        <v>17</v>
      </c>
      <c r="B11" s="17" t="s">
        <v>86</v>
      </c>
      <c r="C11" s="17" t="s">
        <v>87</v>
      </c>
      <c r="D11" s="17" t="s">
        <v>29</v>
      </c>
      <c r="E11" s="18">
        <v>46122</v>
      </c>
      <c r="F11" s="18">
        <v>46143</v>
      </c>
      <c r="G11" s="17">
        <f>F11-E11</f>
        <v>21</v>
      </c>
      <c r="H11" s="17">
        <v>13</v>
      </c>
      <c r="I11" s="22">
        <f>J11/H11</f>
        <v>0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</v>
      </c>
    </row>
    <row r="13" spans="1:10" s="15" customFormat="1" x14ac:dyDescent="0.35">
      <c r="E13" s="16"/>
      <c r="F13" s="16"/>
      <c r="I13" s="33"/>
    </row>
    <row r="16" spans="1:10" s="30" customFormat="1" x14ac:dyDescent="0.35">
      <c r="A16" s="30" t="s">
        <v>79</v>
      </c>
      <c r="B16" s="30" t="s">
        <v>31</v>
      </c>
      <c r="C16" s="30" t="s">
        <v>42</v>
      </c>
      <c r="D16" s="31" t="s">
        <v>78</v>
      </c>
      <c r="E16" s="31">
        <v>45996</v>
      </c>
      <c r="F16" s="31"/>
      <c r="I16" s="32"/>
    </row>
    <row r="18" spans="1:10" s="62" customFormat="1" x14ac:dyDescent="0.35">
      <c r="A18" s="59"/>
      <c r="B18" s="62" t="s">
        <v>80</v>
      </c>
      <c r="C18" s="62" t="s">
        <v>81</v>
      </c>
      <c r="D18" s="62" t="s">
        <v>29</v>
      </c>
      <c r="E18" s="63">
        <v>46060</v>
      </c>
      <c r="F18" s="63">
        <v>46081</v>
      </c>
      <c r="G18" s="62">
        <f>F18-E18</f>
        <v>21</v>
      </c>
      <c r="H18" s="62">
        <v>12</v>
      </c>
      <c r="I18" s="64">
        <f>J18/H18</f>
        <v>0.83333333333333337</v>
      </c>
      <c r="J18" s="62">
        <v>10</v>
      </c>
    </row>
    <row r="19" spans="1:10" s="62" customFormat="1" x14ac:dyDescent="0.35">
      <c r="B19" s="62" t="s">
        <v>7</v>
      </c>
      <c r="C19" s="62" t="s">
        <v>8</v>
      </c>
      <c r="D19" s="62" t="s">
        <v>29</v>
      </c>
      <c r="E19" s="63">
        <v>46067</v>
      </c>
      <c r="F19" s="63">
        <v>46088</v>
      </c>
      <c r="G19" s="62">
        <f>F19-E19</f>
        <v>21</v>
      </c>
      <c r="H19" s="62">
        <v>12</v>
      </c>
      <c r="I19" s="64">
        <f>J19/H19</f>
        <v>0.41666666666666669</v>
      </c>
      <c r="J19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46133</v>
      </c>
      <c r="F2" s="19">
        <f ca="1">E2-D2</f>
        <v>324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46133</v>
      </c>
      <c r="F3" s="19">
        <f ca="1">E3-D3</f>
        <v>172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2026-04-21T12:17:09Z</dcterms:modified>
</cp:coreProperties>
</file>