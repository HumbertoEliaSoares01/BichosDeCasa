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6585D74C-10B2-40DC-9588-FC8B5F7DA5D7}" xr6:coauthVersionLast="36" xr6:coauthVersionMax="36" xr10:uidLastSave="{00000000-0000-0000-0000-000000000000}"/>
  <bookViews>
    <workbookView xWindow="0" yWindow="0" windowWidth="14370" windowHeight="3840" activeTab="1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2" l="1"/>
  <c r="G6" i="2" s="1"/>
  <c r="G1" i="2"/>
  <c r="E9" i="2" l="1"/>
  <c r="G9" i="2" s="1"/>
  <c r="E10" i="2"/>
  <c r="G10" i="2" s="1"/>
  <c r="G13" i="3"/>
  <c r="I13" i="3"/>
  <c r="I12" i="3" l="1"/>
  <c r="G12" i="3"/>
  <c r="E8" i="2" l="1"/>
  <c r="G8" i="2" s="1"/>
  <c r="E7" i="2" l="1"/>
  <c r="G7" i="2" s="1"/>
  <c r="D51" i="1"/>
  <c r="F51" i="1" s="1"/>
  <c r="I8" i="3" l="1"/>
  <c r="G8" i="3"/>
  <c r="I7" i="3" l="1"/>
  <c r="G7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C1" i="2"/>
  <c r="E5" i="2"/>
  <c r="G5" i="2" s="1"/>
  <c r="E4" i="2"/>
  <c r="G4" i="2" s="1"/>
  <c r="E3" i="2"/>
  <c r="G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<sst xmlns="http://schemas.openxmlformats.org/spreadsheetml/2006/main" count="337" uniqueCount="84">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</sst>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0" fontId="9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RowHeight="15" x14ac:dyDescent="0.25"/>
  <cols>
    <col min="1" max="1" width="15.42578125" style="2" customWidth="1"/>
    <col min="2" max="2" width="9.140625" style="1"/>
    <col min="3" max="3" width="16.85546875" style="2" customWidth="1"/>
    <col min="4" max="4" width="13.42578125" style="2" customWidth="1"/>
    <col min="5" max="5" width="14.28515625" style="2" customWidth="1"/>
    <col min="6" max="6" width="10.7109375" style="2" bestFit="1" customWidth="1"/>
    <col min="7" max="7" width="9.140625" style="2"/>
    <col min="8" max="8" width="11.7109375" style="11" customWidth="1"/>
    <col min="9" max="9" width="10.7109375" style="2" bestFit="1" customWidth="1"/>
    <col min="10" max="10" width="12.28515625" style="2" customWidth="1"/>
    <col min="11" max="16384" width="9.140625" style="2"/>
  </cols>
  <sheetData>
    <row r="1" spans="1:8" s="5" customFormat="1" ht="19.5" thickBot="1" x14ac:dyDescent="0.3">
      <c r="B1" s="6" t="s">
        <v>0</v>
      </c>
      <c r="C1" s="40">
        <f ca="1">TODAY()</f>
        <v>46088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.75" thickBot="1" x14ac:dyDescent="0.3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2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2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2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2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2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2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2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2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2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46088</v>
      </c>
      <c r="F11" s="15">
        <f t="shared" ref="F11:F18" ca="1" si="3">E11-D11</f>
        <v>281</v>
      </c>
      <c r="H11" s="14">
        <f t="shared" ca="1" si="1"/>
        <v>0</v>
      </c>
    </row>
    <row r="12" spans="1:8" s="15" customFormat="1" x14ac:dyDescent="0.2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2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2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2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46088</v>
      </c>
      <c r="F15" s="17">
        <f t="shared" ca="1" si="3"/>
        <v>281</v>
      </c>
      <c r="G15" s="17">
        <v>14</v>
      </c>
      <c r="H15" s="22">
        <f t="shared" ca="1" si="1"/>
        <v>4.9822064056939501E-2</v>
      </c>
    </row>
    <row r="16" spans="1:8" s="17" customFormat="1" x14ac:dyDescent="0.2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2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2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2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46088</v>
      </c>
      <c r="F19" s="12">
        <f t="shared" ref="F19:F20" ca="1" si="4">E19-D19</f>
        <v>210</v>
      </c>
      <c r="G19" s="15">
        <v>15</v>
      </c>
      <c r="H19" s="14">
        <f ca="1">G19/F19</f>
        <v>7.1428571428571425E-2</v>
      </c>
      <c r="J19" s="15" t="s">
        <v>30</v>
      </c>
    </row>
    <row r="20" spans="1:10" s="24" customFormat="1" x14ac:dyDescent="0.2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2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-178</v>
      </c>
      <c r="J21" s="23" t="s">
        <v>23</v>
      </c>
    </row>
    <row r="22" spans="1:10" s="17" customFormat="1" x14ac:dyDescent="0.2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-178</v>
      </c>
      <c r="J22" s="23" t="s">
        <v>23</v>
      </c>
    </row>
    <row r="23" spans="1:10" s="17" customFormat="1" x14ac:dyDescent="0.2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2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46088</v>
      </c>
      <c r="F24" s="19">
        <f ca="1">E24-D24</f>
        <v>184</v>
      </c>
      <c r="G24" s="19">
        <v>3</v>
      </c>
      <c r="H24" s="14">
        <f ca="1">G24/F24</f>
        <v>1.6304347826086956E-2</v>
      </c>
      <c r="J24" s="19" t="s">
        <v>29</v>
      </c>
    </row>
    <row r="25" spans="1:10" s="19" customFormat="1" x14ac:dyDescent="0.2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46088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2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46088</v>
      </c>
      <c r="F26" s="19">
        <f ca="1">E26-D26</f>
        <v>184</v>
      </c>
      <c r="G26" s="19">
        <v>3</v>
      </c>
      <c r="H26" s="14">
        <f t="shared" ca="1" si="7"/>
        <v>1.6304347826086956E-2</v>
      </c>
      <c r="J26" s="19" t="s">
        <v>29</v>
      </c>
    </row>
    <row r="27" spans="1:10" s="19" customFormat="1" x14ac:dyDescent="0.2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46088</v>
      </c>
      <c r="F27" s="19">
        <f ca="1">E27-D27</f>
        <v>184</v>
      </c>
      <c r="G27" s="19">
        <v>3</v>
      </c>
      <c r="H27" s="14">
        <f t="shared" ref="H27" ca="1" si="8">G27/F27</f>
        <v>1.6304347826086956E-2</v>
      </c>
      <c r="J27" s="19" t="s">
        <v>34</v>
      </c>
    </row>
    <row r="28" spans="1:10" s="28" customFormat="1" x14ac:dyDescent="0.2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2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2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2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2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.75" thickBot="1" x14ac:dyDescent="0.3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2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2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2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2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2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2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2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25">
      <c r="A41" s="28" t="s">
        <v>32</v>
      </c>
      <c r="B41" s="28" t="s">
        <v>55</v>
      </c>
      <c r="C41" s="28" t="s">
        <v>33</v>
      </c>
      <c r="D41" s="37">
        <f ca="1">TODAY()</f>
        <v>46088</v>
      </c>
      <c r="E41" s="37">
        <v>45910</v>
      </c>
      <c r="F41" s="28">
        <f ca="1">D41-E41</f>
        <v>178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25">
      <c r="A42" s="17" t="s">
        <v>18</v>
      </c>
      <c r="B42" s="17" t="s">
        <v>6</v>
      </c>
      <c r="C42" s="17" t="s">
        <v>3</v>
      </c>
      <c r="D42" s="18">
        <f ca="1">TODAY()</f>
        <v>46088</v>
      </c>
      <c r="E42" s="18">
        <v>45947</v>
      </c>
      <c r="F42" s="17">
        <f ca="1">D42-E42</f>
        <v>141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25">
      <c r="A43" s="17" t="s">
        <v>18</v>
      </c>
      <c r="B43" s="17" t="s">
        <v>57</v>
      </c>
      <c r="C43" s="17" t="s">
        <v>56</v>
      </c>
      <c r="D43" s="18">
        <f ca="1">TODAY()</f>
        <v>46088</v>
      </c>
      <c r="E43" s="18">
        <v>45953</v>
      </c>
      <c r="F43" s="17">
        <f t="shared" ref="F43:F44" ca="1" si="9">D43-E43</f>
        <v>135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25">
      <c r="A44" s="17" t="s">
        <v>18</v>
      </c>
      <c r="B44" s="17" t="s">
        <v>7</v>
      </c>
      <c r="C44" s="17" t="s">
        <v>8</v>
      </c>
      <c r="D44" s="18">
        <f ca="1">TODAY()</f>
        <v>46088</v>
      </c>
      <c r="E44" s="18">
        <v>45956</v>
      </c>
      <c r="F44" s="17">
        <f t="shared" ca="1" si="9"/>
        <v>132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2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2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46088</v>
      </c>
      <c r="F46" s="19">
        <f ca="1">E46-D46</f>
        <v>279</v>
      </c>
      <c r="G46" s="19" t="s">
        <v>71</v>
      </c>
      <c r="H46" s="55">
        <f ca="1">F46*2</f>
        <v>558</v>
      </c>
      <c r="I46" s="19">
        <v>1</v>
      </c>
      <c r="J46" s="19" t="s">
        <v>26</v>
      </c>
    </row>
    <row r="47" spans="1:10" s="19" customFormat="1" x14ac:dyDescent="0.2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46088</v>
      </c>
      <c r="F47" s="19">
        <f t="shared" ref="F47:F48" ca="1" si="11">E47-D47</f>
        <v>145</v>
      </c>
      <c r="G47" s="19" t="s">
        <v>71</v>
      </c>
      <c r="H47" s="55">
        <f t="shared" ref="H47:H48" ca="1" si="12">F47*2</f>
        <v>290</v>
      </c>
      <c r="I47" s="19">
        <v>1</v>
      </c>
      <c r="J47" s="19" t="s">
        <v>34</v>
      </c>
    </row>
    <row r="48" spans="1:10" s="19" customFormat="1" x14ac:dyDescent="0.2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46088</v>
      </c>
      <c r="F48" s="19">
        <f t="shared" ca="1" si="11"/>
        <v>127</v>
      </c>
      <c r="G48" s="19" t="s">
        <v>71</v>
      </c>
      <c r="H48" s="55">
        <f t="shared" ca="1" si="12"/>
        <v>254</v>
      </c>
      <c r="I48" s="19">
        <v>1</v>
      </c>
      <c r="J48" s="19" t="s">
        <v>29</v>
      </c>
    </row>
    <row r="49" spans="1:10" s="19" customFormat="1" x14ac:dyDescent="0.2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2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25">
      <c r="A51" s="17" t="s">
        <v>18</v>
      </c>
      <c r="B51" s="17" t="s">
        <v>6</v>
      </c>
      <c r="C51" s="17" t="s">
        <v>3</v>
      </c>
      <c r="D51" s="18">
        <f ca="1">TODAY()</f>
        <v>46088</v>
      </c>
      <c r="E51" s="18">
        <v>46027</v>
      </c>
      <c r="F51" s="17">
        <f ca="1">D51-E51</f>
        <v>61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25">
      <c r="B52" s="36"/>
      <c r="H52" s="27"/>
    </row>
    <row r="53" spans="1:10" s="30" customFormat="1" x14ac:dyDescent="0.2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2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2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2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2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2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K14"/>
  <sheetViews>
    <sheetView tabSelected="1" topLeftCell="C1" workbookViewId="0">
      <pane ySplit="2" topLeftCell="A3" activePane="bottomLeft" state="frozen"/>
      <selection pane="bottomLeft" activeCell="D8" sqref="D8"/>
    </sheetView>
  </sheetViews>
  <sheetFormatPr defaultColWidth="10.7109375" defaultRowHeight="15" x14ac:dyDescent="0.25"/>
  <cols>
    <col min="1" max="2" width="10.7109375" style="47"/>
    <col min="3" max="3" width="17.42578125" style="47" customWidth="1"/>
    <col min="4" max="4" width="10.7109375" style="47"/>
    <col min="5" max="5" width="10.7109375" style="48"/>
    <col min="6" max="6" width="14.7109375" style="48" customWidth="1"/>
    <col min="7" max="7" width="10.7109375" style="47"/>
    <col min="8" max="8" width="15.140625" style="47" customWidth="1"/>
    <col min="9" max="9" width="13.85546875" style="47" customWidth="1"/>
    <col min="10" max="16384" width="10.7109375" style="47"/>
  </cols>
  <sheetData>
    <row r="1" spans="1:11" s="49" customFormat="1" ht="18.75" x14ac:dyDescent="0.25">
      <c r="B1" s="46" t="s">
        <v>0</v>
      </c>
      <c r="C1" s="46">
        <f ca="1">TODAY()</f>
        <v>46088</v>
      </c>
      <c r="E1" s="46"/>
      <c r="F1" s="46"/>
      <c r="G1" s="49">
        <f>SUM(J7:J10)</f>
        <v>14</v>
      </c>
      <c r="H1" s="49" t="s">
        <v>68</v>
      </c>
      <c r="I1" s="67"/>
      <c r="J1" s="67"/>
    </row>
    <row r="2" spans="1:11" s="50" customFormat="1" ht="19.5" thickBot="1" x14ac:dyDescent="0.3">
      <c r="A2" s="50" t="s">
        <v>59</v>
      </c>
      <c r="B2" s="51" t="s">
        <v>60</v>
      </c>
      <c r="C2" s="51" t="s">
        <v>67</v>
      </c>
      <c r="D2" s="50" t="s">
        <v>66</v>
      </c>
      <c r="E2" s="51" t="s">
        <v>61</v>
      </c>
      <c r="F2" s="51" t="s">
        <v>62</v>
      </c>
      <c r="G2" s="50" t="s">
        <v>63</v>
      </c>
      <c r="H2" s="50" t="s">
        <v>64</v>
      </c>
      <c r="I2" s="50" t="s">
        <v>82</v>
      </c>
      <c r="J2" s="50" t="s">
        <v>83</v>
      </c>
    </row>
    <row r="3" spans="1:11" s="17" customFormat="1" x14ac:dyDescent="0.25">
      <c r="A3" s="17" t="s">
        <v>18</v>
      </c>
      <c r="B3" s="17" t="s">
        <v>6</v>
      </c>
      <c r="C3" s="17" t="s">
        <v>3</v>
      </c>
      <c r="D3" s="17" t="s">
        <v>29</v>
      </c>
      <c r="E3" s="18">
        <f ca="1">TODAY()</f>
        <v>46088</v>
      </c>
      <c r="F3" s="18">
        <v>45947</v>
      </c>
      <c r="G3" s="17">
        <f ca="1">E3-F3</f>
        <v>141</v>
      </c>
      <c r="H3" s="17" t="s">
        <v>54</v>
      </c>
      <c r="I3" s="17">
        <v>4</v>
      </c>
      <c r="J3" s="17">
        <v>0</v>
      </c>
    </row>
    <row r="4" spans="1:11" s="17" customFormat="1" x14ac:dyDescent="0.25">
      <c r="A4" s="17" t="s">
        <v>18</v>
      </c>
      <c r="B4" s="17" t="s">
        <v>57</v>
      </c>
      <c r="C4" s="17" t="s">
        <v>56</v>
      </c>
      <c r="D4" s="17" t="s">
        <v>34</v>
      </c>
      <c r="E4" s="18">
        <f ca="1">TODAY()</f>
        <v>46088</v>
      </c>
      <c r="F4" s="18">
        <v>45953</v>
      </c>
      <c r="G4" s="17">
        <f ca="1">E4-F4</f>
        <v>135</v>
      </c>
      <c r="H4" s="17" t="s">
        <v>54</v>
      </c>
      <c r="I4" s="17">
        <v>8</v>
      </c>
      <c r="J4" s="17">
        <v>0</v>
      </c>
    </row>
    <row r="5" spans="1:11" s="17" customFormat="1" x14ac:dyDescent="0.25">
      <c r="A5" s="17" t="s">
        <v>18</v>
      </c>
      <c r="B5" s="17" t="s">
        <v>7</v>
      </c>
      <c r="C5" s="17" t="s">
        <v>8</v>
      </c>
      <c r="D5" s="17" t="s">
        <v>29</v>
      </c>
      <c r="E5" s="18">
        <f ca="1">TODAY()</f>
        <v>46088</v>
      </c>
      <c r="F5" s="18">
        <v>45956</v>
      </c>
      <c r="G5" s="17">
        <f ca="1">E5-F5</f>
        <v>132</v>
      </c>
      <c r="H5" s="17" t="s">
        <v>54</v>
      </c>
      <c r="I5" s="17">
        <v>8</v>
      </c>
      <c r="J5" s="17">
        <v>4</v>
      </c>
    </row>
    <row r="6" spans="1:11" s="65" customFormat="1" x14ac:dyDescent="0.25">
      <c r="A6" s="65" t="s">
        <v>18</v>
      </c>
      <c r="B6" s="65" t="s">
        <v>4</v>
      </c>
      <c r="C6" s="65" t="s">
        <v>1</v>
      </c>
      <c r="D6" s="65" t="s">
        <v>30</v>
      </c>
      <c r="E6" s="66">
        <f t="shared" ref="E6:E10" ca="1" si="0">TODAY()</f>
        <v>46088</v>
      </c>
      <c r="F6" s="66">
        <v>45910</v>
      </c>
      <c r="G6" s="65">
        <f ca="1">E6-F6</f>
        <v>178</v>
      </c>
      <c r="H6" s="65" t="s">
        <v>54</v>
      </c>
      <c r="I6" s="65">
        <v>6</v>
      </c>
      <c r="J6" s="65">
        <v>1</v>
      </c>
    </row>
    <row r="7" spans="1:11" s="17" customFormat="1" x14ac:dyDescent="0.25">
      <c r="A7" s="17" t="s">
        <v>18</v>
      </c>
      <c r="B7" s="17" t="s">
        <v>6</v>
      </c>
      <c r="C7" s="17" t="s">
        <v>3</v>
      </c>
      <c r="D7" s="17" t="s">
        <v>29</v>
      </c>
      <c r="E7" s="18">
        <f ca="1">TODAY()</f>
        <v>46088</v>
      </c>
      <c r="F7" s="18">
        <v>46027</v>
      </c>
      <c r="G7" s="17">
        <f ca="1">E7-F7</f>
        <v>61</v>
      </c>
      <c r="H7" s="17" t="s">
        <v>54</v>
      </c>
      <c r="I7" s="17">
        <v>7</v>
      </c>
      <c r="J7" s="17">
        <v>1</v>
      </c>
    </row>
    <row r="8" spans="1:11" s="17" customFormat="1" x14ac:dyDescent="0.25">
      <c r="A8" s="17" t="s">
        <v>18</v>
      </c>
      <c r="B8" s="17" t="s">
        <v>9</v>
      </c>
      <c r="C8" s="17" t="s">
        <v>10</v>
      </c>
      <c r="D8" s="17" t="s">
        <v>29</v>
      </c>
      <c r="E8" s="18">
        <f ca="1">TODAY()</f>
        <v>46088</v>
      </c>
      <c r="F8" s="18">
        <v>46036</v>
      </c>
      <c r="G8" s="17">
        <f ca="1">E8-F8</f>
        <v>52</v>
      </c>
      <c r="H8" s="17" t="s">
        <v>54</v>
      </c>
      <c r="I8" s="17">
        <v>9</v>
      </c>
      <c r="J8" s="17">
        <v>3</v>
      </c>
    </row>
    <row r="9" spans="1:11" s="17" customFormat="1" x14ac:dyDescent="0.25">
      <c r="A9" s="17" t="s">
        <v>18</v>
      </c>
      <c r="B9" s="17" t="s">
        <v>80</v>
      </c>
      <c r="C9" s="17" t="s">
        <v>81</v>
      </c>
      <c r="D9" s="17" t="s">
        <v>29</v>
      </c>
      <c r="E9" s="18">
        <f t="shared" ca="1" si="0"/>
        <v>46088</v>
      </c>
      <c r="F9" s="18">
        <v>46082</v>
      </c>
      <c r="G9" s="17">
        <f t="shared" ref="G9:G10" ca="1" si="1">E9-F9</f>
        <v>6</v>
      </c>
      <c r="H9" s="17" t="s">
        <v>54</v>
      </c>
      <c r="I9" s="17">
        <v>10</v>
      </c>
      <c r="J9" s="17">
        <v>5</v>
      </c>
    </row>
    <row r="10" spans="1:11" s="17" customFormat="1" x14ac:dyDescent="0.25">
      <c r="A10" s="17" t="s">
        <v>18</v>
      </c>
      <c r="B10" s="17" t="s">
        <v>7</v>
      </c>
      <c r="C10" s="17" t="s">
        <v>8</v>
      </c>
      <c r="D10" s="17" t="s">
        <v>29</v>
      </c>
      <c r="E10" s="18">
        <f t="shared" ca="1" si="0"/>
        <v>46088</v>
      </c>
      <c r="F10" s="18">
        <v>46088</v>
      </c>
      <c r="G10" s="17">
        <f t="shared" ca="1" si="1"/>
        <v>0</v>
      </c>
      <c r="H10" s="17" t="s">
        <v>54</v>
      </c>
      <c r="I10" s="17">
        <v>7</v>
      </c>
      <c r="J10" s="17">
        <v>5</v>
      </c>
    </row>
    <row r="11" spans="1:11" s="30" customFormat="1" x14ac:dyDescent="0.25">
      <c r="A11" s="30" t="s">
        <v>35</v>
      </c>
      <c r="B11" s="30" t="s">
        <v>57</v>
      </c>
      <c r="C11" s="30" t="s">
        <v>56</v>
      </c>
      <c r="D11" s="31" t="s">
        <v>34</v>
      </c>
      <c r="E11" s="31">
        <v>45997</v>
      </c>
      <c r="H11" s="32"/>
    </row>
    <row r="14" spans="1:11" x14ac:dyDescent="0.25">
      <c r="F14" s="18"/>
      <c r="G14" s="17"/>
      <c r="H14" s="17"/>
      <c r="I14" s="22"/>
      <c r="J14" s="17"/>
      <c r="K14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J13"/>
  <sheetViews>
    <sheetView topLeftCell="E1" workbookViewId="0">
      <pane ySplit="2" topLeftCell="A9" activePane="bottomLeft" state="frozen"/>
      <selection pane="bottomLeft" activeCell="E12" sqref="A12:XFD13"/>
    </sheetView>
  </sheetViews>
  <sheetFormatPr defaultRowHeight="15" x14ac:dyDescent="0.25"/>
  <cols>
    <col min="1" max="1" width="13.28515625" style="47" customWidth="1"/>
    <col min="2" max="2" width="9.140625" style="47"/>
    <col min="3" max="3" width="19.42578125" style="47" customWidth="1"/>
    <col min="4" max="4" width="14.28515625" style="47" customWidth="1"/>
    <col min="5" max="5" width="13" style="48" customWidth="1"/>
    <col min="6" max="6" width="16.85546875" style="48" customWidth="1"/>
    <col min="7" max="7" width="13" style="47" customWidth="1"/>
    <col min="8" max="8" width="15.140625" style="47" customWidth="1"/>
    <col min="9" max="9" width="15.28515625" style="47" customWidth="1"/>
    <col min="10" max="10" width="11.7109375" style="47" customWidth="1"/>
    <col min="11" max="16384" width="9.140625" style="47"/>
  </cols>
  <sheetData>
    <row r="1" spans="1:10" s="49" customFormat="1" ht="18.75" x14ac:dyDescent="0.25">
      <c r="B1" s="46" t="s">
        <v>0</v>
      </c>
      <c r="C1" s="46">
        <f ca="1">TODAY()</f>
        <v>46088</v>
      </c>
      <c r="E1" s="46"/>
      <c r="F1" s="46"/>
      <c r="G1" s="52" t="e">
        <f>AVERAGE(I:I)</f>
        <v>#REF!</v>
      </c>
      <c r="H1" s="53" t="s">
        <v>73</v>
      </c>
    </row>
    <row r="2" spans="1:10" s="60" customFormat="1" ht="18.75" x14ac:dyDescent="0.25">
      <c r="A2" s="60" t="s">
        <v>59</v>
      </c>
      <c r="B2" s="61" t="s">
        <v>60</v>
      </c>
      <c r="C2" s="61" t="s">
        <v>67</v>
      </c>
      <c r="D2" s="60" t="s">
        <v>66</v>
      </c>
      <c r="E2" s="61" t="s">
        <v>69</v>
      </c>
      <c r="F2" s="61" t="s">
        <v>62</v>
      </c>
      <c r="G2" s="60" t="s">
        <v>70</v>
      </c>
      <c r="H2" s="60" t="s">
        <v>71</v>
      </c>
      <c r="I2" s="60" t="s">
        <v>72</v>
      </c>
      <c r="J2" s="60" t="s">
        <v>68</v>
      </c>
    </row>
    <row r="3" spans="1:10" s="56" customFormat="1" x14ac:dyDescent="0.25">
      <c r="A3" s="56" t="s">
        <v>17</v>
      </c>
      <c r="B3" s="56" t="s">
        <v>9</v>
      </c>
      <c r="C3" s="56" t="s">
        <v>10</v>
      </c>
      <c r="D3" s="56" t="s">
        <v>29</v>
      </c>
      <c r="E3" s="57">
        <v>45955</v>
      </c>
      <c r="F3" s="57">
        <v>45977</v>
      </c>
      <c r="G3" s="56">
        <f>F3-E3</f>
        <v>22</v>
      </c>
      <c r="H3" s="56">
        <v>10</v>
      </c>
      <c r="I3" s="58">
        <f>J3/H3</f>
        <v>1</v>
      </c>
      <c r="J3" s="56">
        <v>10</v>
      </c>
    </row>
    <row r="4" spans="1:10" s="56" customFormat="1" x14ac:dyDescent="0.25">
      <c r="A4" s="56" t="s">
        <v>17</v>
      </c>
      <c r="B4" s="56" t="s">
        <v>31</v>
      </c>
      <c r="C4" s="56" t="s">
        <v>42</v>
      </c>
      <c r="D4" s="56" t="s">
        <v>78</v>
      </c>
      <c r="E4" s="57">
        <v>45982</v>
      </c>
      <c r="F4" s="57">
        <v>46003</v>
      </c>
      <c r="G4" s="56">
        <f>F4-E4</f>
        <v>21</v>
      </c>
      <c r="H4" s="56">
        <v>10</v>
      </c>
      <c r="I4" s="58">
        <f>J4/H4</f>
        <v>0</v>
      </c>
    </row>
    <row r="7" spans="1:10" s="65" customFormat="1" x14ac:dyDescent="0.25">
      <c r="A7" s="59" t="s">
        <v>17</v>
      </c>
      <c r="B7" s="62" t="s">
        <v>6</v>
      </c>
      <c r="C7" s="62" t="s">
        <v>3</v>
      </c>
      <c r="D7" s="62" t="s">
        <v>29</v>
      </c>
      <c r="E7" s="63">
        <v>46005</v>
      </c>
      <c r="F7" s="63">
        <v>46026</v>
      </c>
      <c r="G7" s="62">
        <f>F7-E7</f>
        <v>21</v>
      </c>
      <c r="H7" s="62">
        <v>10</v>
      </c>
      <c r="I7" s="64" t="e">
        <f>#REF!/H7</f>
        <v>#REF!</v>
      </c>
    </row>
    <row r="8" spans="1:10" s="15" customFormat="1" x14ac:dyDescent="0.25">
      <c r="A8" s="15" t="s">
        <v>17</v>
      </c>
      <c r="B8" s="15" t="s">
        <v>9</v>
      </c>
      <c r="C8" s="15" t="s">
        <v>10</v>
      </c>
      <c r="D8" s="15" t="s">
        <v>29</v>
      </c>
      <c r="E8" s="16">
        <v>46015</v>
      </c>
      <c r="F8" s="16">
        <v>46036</v>
      </c>
      <c r="G8" s="15">
        <f>F8-E8</f>
        <v>21</v>
      </c>
      <c r="H8" s="15">
        <v>10</v>
      </c>
      <c r="I8" s="33">
        <f>J8/H8</f>
        <v>0.9</v>
      </c>
      <c r="J8" s="15">
        <v>9</v>
      </c>
    </row>
    <row r="10" spans="1:10" s="30" customFormat="1" x14ac:dyDescent="0.25">
      <c r="A10" s="30" t="s">
        <v>79</v>
      </c>
      <c r="B10" s="30" t="s">
        <v>31</v>
      </c>
      <c r="C10" s="30" t="s">
        <v>42</v>
      </c>
      <c r="D10" s="31" t="s">
        <v>78</v>
      </c>
      <c r="E10" s="31">
        <v>45996</v>
      </c>
      <c r="F10" s="31"/>
      <c r="I10" s="32"/>
    </row>
    <row r="12" spans="1:10" s="56" customFormat="1" x14ac:dyDescent="0.25">
      <c r="B12" s="56" t="s">
        <v>80</v>
      </c>
      <c r="C12" s="56" t="s">
        <v>81</v>
      </c>
      <c r="D12" s="56" t="s">
        <v>29</v>
      </c>
      <c r="E12" s="57">
        <v>46060</v>
      </c>
      <c r="F12" s="57">
        <v>46081</v>
      </c>
      <c r="G12" s="56">
        <f>F12-E12</f>
        <v>21</v>
      </c>
      <c r="H12" s="56">
        <v>12</v>
      </c>
      <c r="I12" s="58">
        <f>J12/H12</f>
        <v>0.83333333333333337</v>
      </c>
      <c r="J12" s="56">
        <v>10</v>
      </c>
    </row>
    <row r="13" spans="1:10" s="56" customFormat="1" x14ac:dyDescent="0.25">
      <c r="B13" s="56" t="s">
        <v>7</v>
      </c>
      <c r="C13" s="56" t="s">
        <v>8</v>
      </c>
      <c r="D13" s="56" t="s">
        <v>29</v>
      </c>
      <c r="E13" s="57">
        <v>46067</v>
      </c>
      <c r="F13" s="57">
        <v>46088</v>
      </c>
      <c r="G13" s="56">
        <f>F13-E13</f>
        <v>21</v>
      </c>
      <c r="H13" s="56">
        <v>12</v>
      </c>
      <c r="I13" s="58">
        <f>J13/H13</f>
        <v>0.41666666666666669</v>
      </c>
      <c r="J13" s="56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RowHeight="15" x14ac:dyDescent="0.25"/>
  <cols>
    <col min="1" max="1" width="13.28515625" style="1" customWidth="1"/>
    <col min="2" max="2" width="9.140625" style="1"/>
    <col min="3" max="3" width="16.42578125" style="1" customWidth="1"/>
    <col min="4" max="4" width="15.7109375" style="1" customWidth="1"/>
    <col min="5" max="5" width="13.28515625" style="1" customWidth="1"/>
    <col min="6" max="6" width="12.5703125" style="1" customWidth="1"/>
    <col min="7" max="7" width="9.140625" style="1"/>
    <col min="8" max="8" width="9.140625" style="1" customWidth="1"/>
    <col min="9" max="9" width="11.42578125" style="1" customWidth="1"/>
    <col min="10" max="16384" width="9.140625" style="1"/>
  </cols>
  <sheetData>
    <row r="1" spans="1:10" x14ac:dyDescent="0.2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2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46088</v>
      </c>
      <c r="F2" s="19">
        <f ca="1">E2-D2</f>
        <v>279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2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46088</v>
      </c>
      <c r="F3" s="19">
        <f ca="1">E3-D3</f>
        <v>127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2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2026-03-07T15:37:17Z</dcterms:modified>
</cp:coreProperties>
</file>