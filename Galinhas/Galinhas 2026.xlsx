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D3A322C0-4BCF-4D1A-9BC4-CF383366B752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Martinho" sheetId="5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3" l="1"/>
  <c r="H28" i="3"/>
  <c r="F28" i="3"/>
  <c r="E23" i="2" l="1"/>
  <c r="E22" i="2"/>
  <c r="E21" i="2"/>
  <c r="K23" i="2" l="1"/>
  <c r="K21" i="2"/>
  <c r="K18" i="2"/>
  <c r="K19" i="2"/>
  <c r="K20" i="2"/>
  <c r="K22" i="2"/>
  <c r="H24" i="3"/>
  <c r="H4" i="5" l="1"/>
  <c r="D5" i="5"/>
  <c r="D6" i="5"/>
  <c r="D7" i="5"/>
  <c r="D8" i="5"/>
  <c r="D9" i="5"/>
  <c r="D4" i="5"/>
  <c r="H5" i="5" l="1"/>
  <c r="H27" i="3"/>
  <c r="F27" i="3"/>
  <c r="F24" i="3" l="1"/>
  <c r="H25" i="3" l="1"/>
  <c r="F25" i="3"/>
  <c r="K17" i="2" l="1"/>
  <c r="E17" i="2"/>
  <c r="G17" i="2" s="1"/>
  <c r="H23" i="3" l="1"/>
  <c r="K16" i="2"/>
  <c r="E16" i="2"/>
  <c r="F16" i="2"/>
  <c r="G16" i="2" l="1"/>
  <c r="E22" i="3"/>
  <c r="F22" i="3" s="1"/>
  <c r="F23" i="3"/>
  <c r="H22" i="3" l="1"/>
  <c r="H21" i="3" l="1"/>
  <c r="F21" i="3"/>
  <c r="H20" i="3" l="1"/>
  <c r="F20" i="3"/>
  <c r="K15" i="2" l="1"/>
  <c r="E15" i="2"/>
  <c r="G15" i="2" s="1"/>
  <c r="H18" i="3" l="1"/>
  <c r="F18" i="3"/>
  <c r="H17" i="3" l="1"/>
  <c r="F17" i="3"/>
  <c r="K4" i="2" l="1"/>
  <c r="K5" i="2"/>
  <c r="K6" i="2"/>
  <c r="K7" i="2"/>
  <c r="K8" i="2"/>
  <c r="K9" i="2"/>
  <c r="K10" i="2"/>
  <c r="K11" i="2"/>
  <c r="K12" i="2"/>
  <c r="K13" i="2"/>
  <c r="K14" i="2"/>
  <c r="K3" i="2"/>
  <c r="E14" i="2"/>
  <c r="G14" i="2" s="1"/>
  <c r="H16" i="3"/>
  <c r="H14" i="3"/>
  <c r="E13" i="2" l="1"/>
  <c r="G13" i="2" s="1"/>
  <c r="F16" i="3" l="1"/>
  <c r="F15" i="3" l="1"/>
  <c r="F14" i="3" l="1"/>
  <c r="E11" i="2" l="1"/>
  <c r="G11" i="2" s="1"/>
  <c r="E12" i="2"/>
  <c r="G12" i="2" s="1"/>
  <c r="H12" i="3" l="1"/>
  <c r="F12" i="3"/>
  <c r="H11" i="3" l="1"/>
  <c r="F11" i="3"/>
  <c r="H10" i="3" l="1"/>
  <c r="F10" i="3"/>
  <c r="H9" i="3"/>
  <c r="F9" i="3"/>
  <c r="E6" i="2" l="1"/>
  <c r="G6" i="2" s="1"/>
  <c r="G1" i="2"/>
  <c r="E9" i="2" l="1"/>
  <c r="G9" i="2" s="1"/>
  <c r="E10" i="2"/>
  <c r="G10" i="2" s="1"/>
  <c r="F36" i="3"/>
  <c r="H36" i="3"/>
  <c r="H35" i="3" l="1"/>
  <c r="F35" i="3"/>
  <c r="E8" i="2" l="1"/>
  <c r="G8" i="2" s="1"/>
  <c r="E7" i="2" l="1"/>
  <c r="G7" i="2" s="1"/>
  <c r="D51" i="1"/>
  <c r="F51" i="1" s="1"/>
  <c r="H6" i="3" l="1"/>
  <c r="F6" i="3"/>
  <c r="H5" i="3" l="1"/>
  <c r="F5" i="3"/>
  <c r="H50" i="1"/>
  <c r="F50" i="1"/>
  <c r="H4" i="3" l="1"/>
  <c r="F4" i="3"/>
  <c r="E47" i="1" l="1"/>
  <c r="F47" i="1" s="1"/>
  <c r="H47" i="1" s="1"/>
  <c r="E48" i="1"/>
  <c r="F48" i="1" s="1"/>
  <c r="H48" i="1" s="1"/>
  <c r="E46" i="1"/>
  <c r="F46" i="1" s="1"/>
  <c r="H46" i="1" s="1"/>
  <c r="H3" i="3" l="1"/>
  <c r="F1" i="3" s="1"/>
  <c r="F3" i="3"/>
  <c r="B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  <c r="H6" i="5" l="1"/>
  <c r="H7" i="5" s="1"/>
</calcChain>
</file>

<file path=xl/sharedStrings.xml><?xml version="1.0" encoding="utf-8"?>
<sst xmlns="http://schemas.openxmlformats.org/spreadsheetml/2006/main" count="418" uniqueCount="106">
  <si>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</si>
  <si>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</si>
  <si>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</si>
  <si>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</si>
  <si>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</si>
  <si>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</si>
  <si>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</si>
  <si>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</si>
  <si>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</si>
  <si>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</si>
  <si>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</si>
  <si>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</si>
  <si>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</si>
  <si>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</si>
  <si>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</si>
  <si>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</si>
  <si>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</si>
  <si>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</si>
  <si>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</si>
  <si>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</si>
  <si>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</si>
  <si>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</si>
  <si>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</si>
  <si>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</si>
  <si>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</si>
  <si>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</si>
  <si>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</si>
  <si>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</si>
  <si>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</si>
  <si>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</si>
  <si>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</si>
  <si>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</si>
  <si>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</si>
  <si>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</si>
  <si>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</si>
  <si>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</si>
  <si>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</si>
  <si>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</si>
  <si>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</si>
  <si>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</si>
  <si>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</si>
  <si>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</si>
  <si>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</si>
  <si>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</si>
  <si>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</si>
  <si>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</si>
  <si>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</si>
  <si>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</si>
  <si>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</si>
  <si>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</si>
  <si>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</si>
  <si>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</si>
  <si>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</si>
  <si>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</si>
  <si>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</si>
  <si>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</si>
  <si>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</si>
  <si>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</si>
  <si>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</si>
  <si>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sigla</t>
  </si>
  <si>
    <t>hoje</t>
  </si>
  <si>
    <t>nascimento</t>
  </si>
  <si>
    <t>idade</t>
  </si>
  <si>
    <t>unidade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</si>
  <si>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</si>
  <si>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</si>
  <si>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</si>
  <si>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</si>
  <si>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</si>
  <si>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</si>
  <si>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</si>
  <si>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</si>
  <si>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</si>
  <si>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</si>
  <si>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</si>
  <si>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</si>
  <si>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</si>
  <si>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</si>
  <si>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</si>
  <si>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</si>
  <si>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</si>
  <si>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</si>
  <si>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</si>
  <si>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</si>
  <si>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</si>
  <si>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</si>
  <si>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</si>
  <si>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</si>
  <si>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</si>
  <si>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</si>
  <si>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</si>
  <si>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</si>
  <si>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</si>
  <si>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</si>
  <si>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</si>
  <si>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</si>
  <si>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</si>
  <si>
    <t>frango</t>
  </si>
  <si>
    <t>galinha</t>
  </si>
  <si>
    <t>frangos</t>
  </si>
  <si>
    <t>galo</t>
  </si>
  <si>
    <t>TOTAL</t>
  </si>
  <si>
    <t>Cabeças</t>
  </si>
  <si>
    <t>desconto 25%</t>
  </si>
  <si>
    <t>TOTAL c/ descoto</t>
  </si>
  <si>
    <t>Valor combinado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</si>
</sst>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164" fontId="0" fillId="0" borderId="0" xfId="0" applyNumberFormat="1" applyFill="1" applyBorder="1" applyAlignment="1">
      <alignment horizontal="right"/>
    </xf>
    <xf numFmtId="14" fontId="0" fillId="0" borderId="0" xfId="0" applyNumberFormat="1" applyFill="1" applyBorder="1" applyAlignment="1">
      <alignment horizontal="center"/>
    </xf>
    <xf numFmtId="10" fontId="10" fillId="0" borderId="4" xfId="0" applyNumberFormat="1" applyFont="1" applyBorder="1" applyAlignment="1">
      <alignment horizontal="center" vertical="center"/>
    </xf>
    <xf numFmtId="10" fontId="15" fillId="0" borderId="0" xfId="0" applyNumberFormat="1" applyFont="1" applyFill="1" applyBorder="1" applyAlignment="1">
      <alignment horizontal="center" vertical="center"/>
    </xf>
    <xf numFmtId="10" fontId="2" fillId="0" borderId="0" xfId="0" applyNumberFormat="1" applyFont="1" applyFill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0" fontId="2" fillId="3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14" fontId="16" fillId="0" borderId="0" xfId="0" applyNumberFormat="1" applyFont="1" applyFill="1" applyBorder="1" applyAlignment="1">
      <alignment horizontal="center" vertical="center"/>
    </xf>
    <xf numFmtId="10" fontId="16" fillId="0" borderId="0" xfId="0" applyNumberFormat="1" applyFont="1" applyBorder="1" applyAlignment="1">
      <alignment horizontal="center" vertical="center"/>
    </xf>
    <xf numFmtId="0" fontId="16" fillId="0" borderId="0" xfId="0" applyFont="1" applyBorder="1" applyAlignment="1">
      <alignment horizontal="center"/>
    </xf>
    <xf numFmtId="14" fontId="16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46323</v>
      </c>
      <c r="D1" s="41">
        <f>SUM(I32:I43)</f>
        <v>33</v>
      </c>
      <c r="E1" s="42" t="s">
        <v>58</v>
      </c>
      <c r="G1" s="53" t="s">
        <v>72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46323</v>
      </c>
      <c r="F11" s="15">
        <f t="shared" ref="F11:F18" ca="1" si="3">E11-D11</f>
        <v>516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46323</v>
      </c>
      <c r="F15" s="17">
        <f t="shared" ca="1" si="3"/>
        <v>516</v>
      </c>
      <c r="G15" s="17">
        <v>14</v>
      </c>
      <c r="H15" s="22">
        <f t="shared" ca="1" si="1"/>
        <v>2.7131782945736434E-2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46323</v>
      </c>
      <c r="F19" s="12">
        <f t="shared" ref="F19:F20" ca="1" si="4">E19-D19</f>
        <v>445</v>
      </c>
      <c r="G19" s="15">
        <v>15</v>
      </c>
      <c r="H19" s="14">
        <f ca="1">G19/F19</f>
        <v>3.3707865168539325E-2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-413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-413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46323</v>
      </c>
      <c r="F24" s="19">
        <f ca="1">E24-D24</f>
        <v>419</v>
      </c>
      <c r="G24" s="19">
        <v>3</v>
      </c>
      <c r="H24" s="14">
        <f ca="1">G24/F24</f>
        <v>7.1599045346062056E-3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46323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46323</v>
      </c>
      <c r="F26" s="19">
        <f ca="1">E26-D26</f>
        <v>419</v>
      </c>
      <c r="G26" s="19">
        <v>3</v>
      </c>
      <c r="H26" s="14">
        <f t="shared" ca="1" si="7"/>
        <v>7.1599045346062056E-3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46323</v>
      </c>
      <c r="F27" s="19">
        <f ca="1">E27-D27</f>
        <v>419</v>
      </c>
      <c r="G27" s="19">
        <v>3</v>
      </c>
      <c r="H27" s="14">
        <f t="shared" ref="H27" ca="1" si="8">G27/F27</f>
        <v>7.1599045346062056E-3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46323</v>
      </c>
      <c r="E41" s="37">
        <v>45910</v>
      </c>
      <c r="F41" s="28">
        <f ca="1">D41-E41</f>
        <v>413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46323</v>
      </c>
      <c r="E42" s="18">
        <v>45947</v>
      </c>
      <c r="F42" s="17">
        <f ca="1">D42-E42</f>
        <v>376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46323</v>
      </c>
      <c r="E43" s="18">
        <v>45953</v>
      </c>
      <c r="F43" s="17">
        <f t="shared" ref="F43:F44" ca="1" si="9">D43-E43</f>
        <v>370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46323</v>
      </c>
      <c r="E44" s="18">
        <v>45956</v>
      </c>
      <c r="F44" s="17">
        <f t="shared" ca="1" si="9"/>
        <v>367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46323</v>
      </c>
      <c r="F46" s="19">
        <f ca="1">E46-D46</f>
        <v>514</v>
      </c>
      <c r="G46" s="19" t="s">
        <v>69</v>
      </c>
      <c r="H46" s="54">
        <f ca="1">F46*2</f>
        <v>1028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46323</v>
      </c>
      <c r="F47" s="19">
        <f t="shared" ref="F47:F48" ca="1" si="11">E47-D47</f>
        <v>380</v>
      </c>
      <c r="G47" s="19" t="s">
        <v>69</v>
      </c>
      <c r="H47" s="54">
        <f t="shared" ref="H47:H48" ca="1" si="12">F47*2</f>
        <v>760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46323</v>
      </c>
      <c r="F48" s="19">
        <f t="shared" ca="1" si="11"/>
        <v>362</v>
      </c>
      <c r="G48" s="19" t="s">
        <v>69</v>
      </c>
      <c r="H48" s="54">
        <f t="shared" ca="1" si="12"/>
        <v>724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46323</v>
      </c>
      <c r="E51" s="18">
        <v>46027</v>
      </c>
      <c r="F51" s="17">
        <f ca="1">D51-E51</f>
        <v>296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74</v>
      </c>
      <c r="B55" s="30" t="s">
        <v>31</v>
      </c>
      <c r="C55" s="30" t="s">
        <v>42</v>
      </c>
      <c r="D55" s="31" t="s">
        <v>73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74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74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L24"/>
  <sheetViews>
    <sheetView workbookViewId="0">
      <pane ySplit="2" topLeftCell="A11" activePane="bottomLeft" state="frozen"/>
      <selection pane="bottomLeft" sqref="A1:A1048576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5.140625" style="47" customWidth="1"/>
    <col min="9" max="9" width="13.85546875" style="47" customWidth="1"/>
    <col min="10" max="16384" width="10.7109375" style="47"/>
  </cols>
  <sheetData>
    <row r="1" spans="1:12" s="49" customFormat="1" ht="18.75" x14ac:dyDescent="0.25">
      <c r="A1" s="46" t="s">
        <v>0</v>
      </c>
      <c r="B1" s="46"/>
      <c r="C1" s="46">
        <f ca="1">TODAY()</f>
        <v>46323</v>
      </c>
      <c r="E1" s="46"/>
      <c r="F1" s="46"/>
      <c r="G1" s="49">
        <f>SUM(J7:J10)</f>
        <v>13</v>
      </c>
      <c r="H1" s="49" t="s">
        <v>66</v>
      </c>
      <c r="I1" s="57"/>
      <c r="J1" s="57"/>
    </row>
    <row r="2" spans="1:12" s="50" customFormat="1" ht="19.5" thickBot="1" x14ac:dyDescent="0.3">
      <c r="A2" s="51" t="s">
        <v>59</v>
      </c>
      <c r="B2" s="51"/>
      <c r="C2" s="51" t="s">
        <v>65</v>
      </c>
      <c r="D2" s="50" t="s">
        <v>64</v>
      </c>
      <c r="E2" s="51" t="s">
        <v>60</v>
      </c>
      <c r="F2" s="51" t="s">
        <v>61</v>
      </c>
      <c r="G2" s="50" t="s">
        <v>62</v>
      </c>
      <c r="H2" s="50" t="s">
        <v>63</v>
      </c>
      <c r="I2" s="50" t="s">
        <v>77</v>
      </c>
      <c r="J2" s="50" t="s">
        <v>78</v>
      </c>
      <c r="K2" s="76" t="s">
        <v>88</v>
      </c>
    </row>
    <row r="3" spans="1:12" s="64" customFormat="1" x14ac:dyDescent="0.25">
      <c r="A3" s="64" t="s">
        <v>6</v>
      </c>
      <c r="B3" s="64" t="s">
        <v>6</v>
      </c>
      <c r="C3" s="64" t="s">
        <v>3</v>
      </c>
      <c r="D3" s="64" t="s">
        <v>29</v>
      </c>
      <c r="E3" s="65">
        <f ca="1">TODAY()</f>
        <v>46323</v>
      </c>
      <c r="F3" s="65">
        <v>45947</v>
      </c>
      <c r="G3" s="64">
        <f t="shared" ref="G3:G8" ca="1" si="0">E3-F3</f>
        <v>376</v>
      </c>
      <c r="H3" s="64" t="s">
        <v>54</v>
      </c>
      <c r="I3" s="64">
        <v>4</v>
      </c>
      <c r="J3" s="64">
        <v>0</v>
      </c>
      <c r="K3" s="66">
        <f>J3/I3</f>
        <v>0</v>
      </c>
    </row>
    <row r="4" spans="1:12" s="64" customFormat="1" x14ac:dyDescent="0.25">
      <c r="A4" s="64" t="s">
        <v>57</v>
      </c>
      <c r="B4" s="64" t="s">
        <v>57</v>
      </c>
      <c r="C4" s="64" t="s">
        <v>56</v>
      </c>
      <c r="D4" s="64" t="s">
        <v>34</v>
      </c>
      <c r="E4" s="65">
        <f ca="1">TODAY()</f>
        <v>46323</v>
      </c>
      <c r="F4" s="65">
        <v>45953</v>
      </c>
      <c r="G4" s="64">
        <f t="shared" ca="1" si="0"/>
        <v>370</v>
      </c>
      <c r="H4" s="64" t="s">
        <v>54</v>
      </c>
      <c r="I4" s="64">
        <v>8</v>
      </c>
      <c r="J4" s="64">
        <v>0</v>
      </c>
      <c r="K4" s="66">
        <f t="shared" ref="K4:K14" si="1">J4/I4</f>
        <v>0</v>
      </c>
    </row>
    <row r="5" spans="1:12" s="64" customFormat="1" x14ac:dyDescent="0.25">
      <c r="A5" s="64" t="s">
        <v>7</v>
      </c>
      <c r="B5" s="64" t="s">
        <v>7</v>
      </c>
      <c r="C5" s="64" t="s">
        <v>8</v>
      </c>
      <c r="D5" s="64" t="s">
        <v>29</v>
      </c>
      <c r="E5" s="65">
        <f ca="1">TODAY()</f>
        <v>46323</v>
      </c>
      <c r="F5" s="65">
        <v>45956</v>
      </c>
      <c r="G5" s="64">
        <f t="shared" ca="1" si="0"/>
        <v>367</v>
      </c>
      <c r="H5" s="64" t="s">
        <v>54</v>
      </c>
      <c r="I5" s="64">
        <v>8</v>
      </c>
      <c r="J5" s="71">
        <v>4</v>
      </c>
      <c r="K5" s="75">
        <f t="shared" si="1"/>
        <v>0.5</v>
      </c>
      <c r="L5" s="71"/>
    </row>
    <row r="6" spans="1:12" s="67" customFormat="1" x14ac:dyDescent="0.25">
      <c r="A6" s="67" t="s">
        <v>4</v>
      </c>
      <c r="B6" s="67" t="s">
        <v>4</v>
      </c>
      <c r="C6" s="67" t="s">
        <v>1</v>
      </c>
      <c r="D6" s="67" t="s">
        <v>30</v>
      </c>
      <c r="E6" s="68">
        <f t="shared" ref="E6:E14" ca="1" si="2">TODAY()</f>
        <v>46323</v>
      </c>
      <c r="F6" s="68">
        <v>45910</v>
      </c>
      <c r="G6" s="67">
        <f t="shared" ca="1" si="0"/>
        <v>413</v>
      </c>
      <c r="H6" s="67" t="s">
        <v>54</v>
      </c>
      <c r="I6" s="67">
        <v>6</v>
      </c>
      <c r="J6" s="64">
        <v>1</v>
      </c>
      <c r="K6" s="66">
        <f t="shared" si="1"/>
        <v>0.16666666666666666</v>
      </c>
      <c r="L6" s="64"/>
    </row>
    <row r="7" spans="1:12" s="64" customFormat="1" x14ac:dyDescent="0.25">
      <c r="A7" s="64" t="s">
        <v>6</v>
      </c>
      <c r="B7" s="64" t="s">
        <v>6</v>
      </c>
      <c r="C7" s="64" t="s">
        <v>3</v>
      </c>
      <c r="D7" s="64" t="s">
        <v>29</v>
      </c>
      <c r="E7" s="65">
        <f ca="1">TODAY()</f>
        <v>46323</v>
      </c>
      <c r="F7" s="65">
        <v>46027</v>
      </c>
      <c r="G7" s="64">
        <f t="shared" ca="1" si="0"/>
        <v>296</v>
      </c>
      <c r="H7" s="64" t="s">
        <v>54</v>
      </c>
      <c r="I7" s="64">
        <v>7</v>
      </c>
      <c r="J7" s="64">
        <v>1</v>
      </c>
      <c r="K7" s="66">
        <f t="shared" si="1"/>
        <v>0.14285714285714285</v>
      </c>
    </row>
    <row r="8" spans="1:12" s="71" customFormat="1" x14ac:dyDescent="0.25">
      <c r="A8" s="71" t="s">
        <v>9</v>
      </c>
      <c r="B8" s="71" t="s">
        <v>9</v>
      </c>
      <c r="C8" s="71" t="s">
        <v>10</v>
      </c>
      <c r="D8" s="71" t="s">
        <v>29</v>
      </c>
      <c r="E8" s="72">
        <f ca="1">TODAY()</f>
        <v>46323</v>
      </c>
      <c r="F8" s="72">
        <v>46036</v>
      </c>
      <c r="G8" s="71">
        <f t="shared" ca="1" si="0"/>
        <v>287</v>
      </c>
      <c r="H8" s="71" t="s">
        <v>54</v>
      </c>
      <c r="I8" s="71">
        <v>9</v>
      </c>
      <c r="J8" s="71">
        <v>3</v>
      </c>
      <c r="K8" s="75">
        <f t="shared" si="1"/>
        <v>0.33333333333333331</v>
      </c>
    </row>
    <row r="9" spans="1:12" s="71" customFormat="1" x14ac:dyDescent="0.25">
      <c r="A9" s="71" t="s">
        <v>75</v>
      </c>
      <c r="B9" s="71" t="s">
        <v>75</v>
      </c>
      <c r="C9" s="71" t="s">
        <v>76</v>
      </c>
      <c r="D9" s="71" t="s">
        <v>29</v>
      </c>
      <c r="E9" s="72">
        <f t="shared" ca="1" si="2"/>
        <v>46323</v>
      </c>
      <c r="F9" s="72">
        <v>46082</v>
      </c>
      <c r="G9" s="71">
        <f ca="1">E9-F9</f>
        <v>241</v>
      </c>
      <c r="H9" s="71" t="s">
        <v>54</v>
      </c>
      <c r="I9" s="71">
        <v>10</v>
      </c>
      <c r="J9" s="71">
        <v>4</v>
      </c>
      <c r="K9" s="75">
        <f t="shared" si="1"/>
        <v>0.4</v>
      </c>
    </row>
    <row r="10" spans="1:12" s="17" customFormat="1" x14ac:dyDescent="0.25">
      <c r="A10" s="17" t="s">
        <v>7</v>
      </c>
      <c r="B10" s="17" t="s">
        <v>7</v>
      </c>
      <c r="C10" s="17" t="s">
        <v>8</v>
      </c>
      <c r="D10" s="17" t="s">
        <v>29</v>
      </c>
      <c r="E10" s="18">
        <f t="shared" ca="1" si="2"/>
        <v>46323</v>
      </c>
      <c r="F10" s="18">
        <v>46089</v>
      </c>
      <c r="G10" s="17">
        <f t="shared" ref="G10:G17" ca="1" si="3">E10-F10</f>
        <v>234</v>
      </c>
      <c r="H10" s="17" t="s">
        <v>54</v>
      </c>
      <c r="I10" s="17">
        <v>10</v>
      </c>
      <c r="J10" s="17">
        <v>5</v>
      </c>
      <c r="K10" s="22">
        <f t="shared" si="1"/>
        <v>0.5</v>
      </c>
    </row>
    <row r="11" spans="1:12" s="69" customFormat="1" x14ac:dyDescent="0.25">
      <c r="A11" s="69" t="s">
        <v>6</v>
      </c>
      <c r="B11" s="69" t="s">
        <v>6</v>
      </c>
      <c r="C11" s="69" t="s">
        <v>3</v>
      </c>
      <c r="D11" s="69" t="s">
        <v>29</v>
      </c>
      <c r="E11" s="18">
        <f t="shared" ca="1" si="2"/>
        <v>46323</v>
      </c>
      <c r="F11" s="70">
        <v>46129</v>
      </c>
      <c r="G11" s="17">
        <f t="shared" ca="1" si="3"/>
        <v>194</v>
      </c>
      <c r="H11" s="17" t="s">
        <v>54</v>
      </c>
      <c r="I11" s="69">
        <v>8</v>
      </c>
      <c r="J11" s="69">
        <v>8</v>
      </c>
      <c r="K11" s="22">
        <f t="shared" si="1"/>
        <v>1</v>
      </c>
    </row>
    <row r="12" spans="1:12" s="69" customFormat="1" x14ac:dyDescent="0.25">
      <c r="B12" s="69" t="s">
        <v>79</v>
      </c>
      <c r="C12" s="69" t="s">
        <v>80</v>
      </c>
      <c r="D12" s="69" t="s">
        <v>34</v>
      </c>
      <c r="E12" s="18">
        <f t="shared" ca="1" si="2"/>
        <v>46323</v>
      </c>
      <c r="F12" s="70">
        <v>46129</v>
      </c>
      <c r="G12" s="17">
        <f t="shared" ca="1" si="3"/>
        <v>194</v>
      </c>
      <c r="H12" s="17" t="s">
        <v>54</v>
      </c>
      <c r="I12" s="69">
        <v>3</v>
      </c>
      <c r="J12" s="69">
        <v>0</v>
      </c>
      <c r="K12" s="22">
        <f t="shared" si="1"/>
        <v>0</v>
      </c>
    </row>
    <row r="13" spans="1:12" s="71" customFormat="1" x14ac:dyDescent="0.25">
      <c r="B13" s="71" t="s">
        <v>83</v>
      </c>
      <c r="C13" s="71" t="s">
        <v>84</v>
      </c>
      <c r="D13" s="71" t="s">
        <v>29</v>
      </c>
      <c r="E13" s="72">
        <f t="shared" ca="1" si="2"/>
        <v>46323</v>
      </c>
      <c r="F13" s="72">
        <v>46182</v>
      </c>
      <c r="G13" s="71">
        <f t="shared" ca="1" si="3"/>
        <v>141</v>
      </c>
      <c r="H13" s="71" t="s">
        <v>54</v>
      </c>
      <c r="I13" s="71">
        <v>4</v>
      </c>
      <c r="J13" s="71">
        <v>3</v>
      </c>
      <c r="K13" s="75">
        <f t="shared" si="1"/>
        <v>0.75</v>
      </c>
    </row>
    <row r="14" spans="1:12" s="71" customFormat="1" x14ac:dyDescent="0.25">
      <c r="B14" s="71" t="s">
        <v>85</v>
      </c>
      <c r="C14" s="71" t="s">
        <v>86</v>
      </c>
      <c r="D14" s="71" t="s">
        <v>34</v>
      </c>
      <c r="E14" s="72">
        <f t="shared" ca="1" si="2"/>
        <v>46323</v>
      </c>
      <c r="F14" s="72">
        <v>46184</v>
      </c>
      <c r="G14" s="71">
        <f t="shared" ca="1" si="3"/>
        <v>139</v>
      </c>
      <c r="H14" s="71" t="s">
        <v>54</v>
      </c>
      <c r="I14" s="71">
        <v>1</v>
      </c>
      <c r="J14" s="71">
        <v>1</v>
      </c>
      <c r="K14" s="75">
        <f t="shared" si="1"/>
        <v>1</v>
      </c>
    </row>
    <row r="15" spans="1:12" s="17" customFormat="1" x14ac:dyDescent="0.25">
      <c r="B15" s="17" t="s">
        <v>90</v>
      </c>
      <c r="C15" s="17" t="s">
        <v>89</v>
      </c>
      <c r="D15" s="17" t="s">
        <v>34</v>
      </c>
      <c r="E15" s="18">
        <f ca="1">TODAY()</f>
        <v>46323</v>
      </c>
      <c r="F15" s="18">
        <v>46216</v>
      </c>
      <c r="G15" s="17">
        <f t="shared" ca="1" si="3"/>
        <v>107</v>
      </c>
      <c r="H15" s="69" t="s">
        <v>54</v>
      </c>
      <c r="I15" s="69">
        <v>8</v>
      </c>
      <c r="J15" s="69">
        <v>8</v>
      </c>
      <c r="K15" s="22">
        <f>J15/I15</f>
        <v>1</v>
      </c>
    </row>
    <row r="16" spans="1:12" s="71" customFormat="1" x14ac:dyDescent="0.25">
      <c r="B16" s="71" t="s">
        <v>91</v>
      </c>
      <c r="C16" s="71" t="s">
        <v>92</v>
      </c>
      <c r="D16" s="71" t="s">
        <v>29</v>
      </c>
      <c r="E16" s="72">
        <f ca="1">TODAY()</f>
        <v>46323</v>
      </c>
      <c r="F16" s="72">
        <f t="shared" ref="F16" ca="1" si="4">TODAY()</f>
        <v>46323</v>
      </c>
      <c r="G16" s="71">
        <f t="shared" ca="1" si="3"/>
        <v>0</v>
      </c>
      <c r="H16" s="71" t="s">
        <v>54</v>
      </c>
      <c r="I16" s="71">
        <v>6</v>
      </c>
      <c r="J16" s="71">
        <v>6</v>
      </c>
      <c r="K16" s="75">
        <f>J16/I16</f>
        <v>1</v>
      </c>
    </row>
    <row r="17" spans="1:12" s="17" customFormat="1" x14ac:dyDescent="0.25">
      <c r="B17" s="17" t="s">
        <v>81</v>
      </c>
      <c r="C17" s="17" t="s">
        <v>94</v>
      </c>
      <c r="D17" s="17" t="s">
        <v>29</v>
      </c>
      <c r="E17" s="18">
        <f ca="1">TODAY()</f>
        <v>46323</v>
      </c>
      <c r="F17" s="18">
        <v>46271</v>
      </c>
      <c r="G17" s="17">
        <f t="shared" ca="1" si="3"/>
        <v>52</v>
      </c>
      <c r="H17" s="69" t="s">
        <v>54</v>
      </c>
      <c r="I17" s="69">
        <v>6</v>
      </c>
      <c r="J17" s="69">
        <v>6</v>
      </c>
      <c r="K17" s="22">
        <f>J17/I17</f>
        <v>1</v>
      </c>
    </row>
    <row r="18" spans="1:12" s="17" customFormat="1" x14ac:dyDescent="0.25">
      <c r="E18" s="18"/>
      <c r="F18" s="18"/>
      <c r="H18" s="69"/>
      <c r="I18" s="69"/>
      <c r="J18" s="69"/>
      <c r="K18" s="22" t="e">
        <f t="shared" ref="K18:K23" si="5">J18/I18</f>
        <v>#DIV/0!</v>
      </c>
    </row>
    <row r="19" spans="1:12" s="15" customFormat="1" x14ac:dyDescent="0.25">
      <c r="B19" s="73"/>
      <c r="C19" s="73"/>
      <c r="D19" s="73"/>
      <c r="E19" s="18"/>
      <c r="F19" s="74"/>
      <c r="G19" s="17"/>
      <c r="H19" s="69"/>
      <c r="I19" s="69"/>
      <c r="J19" s="69"/>
      <c r="K19" s="22" t="e">
        <f t="shared" si="5"/>
        <v>#DIV/0!</v>
      </c>
      <c r="L19" s="17"/>
    </row>
    <row r="20" spans="1:12" s="30" customFormat="1" x14ac:dyDescent="0.25">
      <c r="A20" s="30" t="s">
        <v>57</v>
      </c>
      <c r="C20" s="30" t="s">
        <v>56</v>
      </c>
      <c r="D20" s="31" t="s">
        <v>34</v>
      </c>
      <c r="E20" s="31">
        <v>45997</v>
      </c>
      <c r="H20" s="32"/>
      <c r="K20" s="91" t="e">
        <f t="shared" si="5"/>
        <v>#DIV/0!</v>
      </c>
    </row>
    <row r="21" spans="1:12" s="92" customFormat="1" x14ac:dyDescent="0.25">
      <c r="A21" s="92" t="s">
        <v>9</v>
      </c>
      <c r="B21" s="92" t="s">
        <v>9</v>
      </c>
      <c r="C21" s="92" t="s">
        <v>10</v>
      </c>
      <c r="D21" s="92" t="s">
        <v>29</v>
      </c>
      <c r="E21" s="93">
        <f ca="1">TODAY()</f>
        <v>46323</v>
      </c>
      <c r="F21" s="93">
        <v>46311</v>
      </c>
      <c r="G21" s="92">
        <v>12</v>
      </c>
      <c r="H21" s="92" t="s">
        <v>54</v>
      </c>
      <c r="I21" s="92">
        <v>1</v>
      </c>
      <c r="J21" s="92">
        <v>1</v>
      </c>
      <c r="K21" s="94">
        <f>J21/I21</f>
        <v>1</v>
      </c>
    </row>
    <row r="22" spans="1:12" s="92" customFormat="1" x14ac:dyDescent="0.25">
      <c r="A22" s="92" t="s">
        <v>90</v>
      </c>
      <c r="B22" s="92" t="s">
        <v>90</v>
      </c>
      <c r="C22" s="92" t="s">
        <v>89</v>
      </c>
      <c r="D22" s="92" t="s">
        <v>34</v>
      </c>
      <c r="E22" s="93">
        <f t="shared" ref="E22:E23" ca="1" si="6">TODAY()</f>
        <v>46323</v>
      </c>
      <c r="F22" s="93">
        <v>46322</v>
      </c>
      <c r="G22" s="92">
        <v>12</v>
      </c>
      <c r="H22" s="92" t="s">
        <v>54</v>
      </c>
      <c r="I22" s="92">
        <v>8</v>
      </c>
      <c r="J22" s="92">
        <v>8</v>
      </c>
      <c r="K22" s="94">
        <f t="shared" si="5"/>
        <v>1</v>
      </c>
    </row>
    <row r="23" spans="1:12" s="92" customFormat="1" x14ac:dyDescent="0.25">
      <c r="A23" s="92" t="s">
        <v>95</v>
      </c>
      <c r="B23" s="92" t="s">
        <v>95</v>
      </c>
      <c r="C23" s="92" t="s">
        <v>96</v>
      </c>
      <c r="D23" s="92" t="s">
        <v>29</v>
      </c>
      <c r="E23" s="93">
        <f t="shared" ca="1" si="6"/>
        <v>46323</v>
      </c>
      <c r="F23" s="93">
        <v>46322</v>
      </c>
      <c r="G23" s="92">
        <v>12</v>
      </c>
      <c r="H23" s="92" t="s">
        <v>54</v>
      </c>
      <c r="I23" s="92">
        <v>1</v>
      </c>
      <c r="J23" s="92">
        <v>1</v>
      </c>
      <c r="K23" s="94">
        <f t="shared" si="5"/>
        <v>1</v>
      </c>
    </row>
    <row r="24" spans="1:12" s="95" customFormat="1" x14ac:dyDescent="0.25">
      <c r="E24" s="96"/>
      <c r="F24" s="9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36"/>
  <sheetViews>
    <sheetView tabSelected="1" workbookViewId="0">
      <pane ySplit="2" topLeftCell="A18" activePane="bottomLeft" state="frozen"/>
      <selection pane="bottomLeft" sqref="A1:A1048576"/>
    </sheetView>
  </sheetViews>
  <sheetFormatPr defaultColWidth="9.140625" defaultRowHeight="15" x14ac:dyDescent="0.25"/>
  <cols>
    <col min="1" max="1" width="9.140625" style="21"/>
    <col min="2" max="2" width="19.42578125" style="21" customWidth="1"/>
    <col min="3" max="3" width="14.28515625" style="21" customWidth="1"/>
    <col min="4" max="4" width="13" style="81" customWidth="1"/>
    <col min="5" max="5" width="16.85546875" style="81" customWidth="1"/>
    <col min="6" max="6" width="13" style="21" customWidth="1"/>
    <col min="7" max="7" width="15.140625" style="21" customWidth="1"/>
    <col min="8" max="8" width="15.28515625" style="90" customWidth="1"/>
    <col min="9" max="9" width="11.7109375" style="21" customWidth="1"/>
    <col min="10" max="16384" width="9.140625" style="21"/>
  </cols>
  <sheetData>
    <row r="1" spans="1:9" s="49" customFormat="1" ht="18.75" x14ac:dyDescent="0.25">
      <c r="A1" s="46" t="s">
        <v>0</v>
      </c>
      <c r="B1" s="46">
        <f ca="1">TODAY()</f>
        <v>46323</v>
      </c>
      <c r="D1" s="46"/>
      <c r="E1" s="46"/>
      <c r="F1" s="52" t="e">
        <f>AVERAGE(H:H)</f>
        <v>#REF!</v>
      </c>
      <c r="G1" s="49" t="s">
        <v>71</v>
      </c>
      <c r="H1" s="52"/>
    </row>
    <row r="2" spans="1:9" s="55" customFormat="1" ht="18.75" x14ac:dyDescent="0.25">
      <c r="A2" s="56" t="s">
        <v>59</v>
      </c>
      <c r="B2" s="56" t="s">
        <v>65</v>
      </c>
      <c r="C2" s="55" t="s">
        <v>64</v>
      </c>
      <c r="D2" s="56" t="s">
        <v>67</v>
      </c>
      <c r="E2" s="56" t="s">
        <v>61</v>
      </c>
      <c r="F2" s="55" t="s">
        <v>68</v>
      </c>
      <c r="G2" s="55" t="s">
        <v>69</v>
      </c>
      <c r="H2" s="87" t="s">
        <v>70</v>
      </c>
      <c r="I2" s="55" t="s">
        <v>66</v>
      </c>
    </row>
    <row r="3" spans="1:9" s="58" customFormat="1" x14ac:dyDescent="0.25">
      <c r="A3" s="58" t="s">
        <v>9</v>
      </c>
      <c r="B3" s="58" t="s">
        <v>10</v>
      </c>
      <c r="C3" s="58" t="s">
        <v>29</v>
      </c>
      <c r="D3" s="59">
        <v>45955</v>
      </c>
      <c r="E3" s="59">
        <v>45977</v>
      </c>
      <c r="F3" s="58">
        <f>E3-D3</f>
        <v>22</v>
      </c>
      <c r="G3" s="58">
        <v>10</v>
      </c>
      <c r="H3" s="60">
        <f>I3/G3</f>
        <v>1</v>
      </c>
      <c r="I3" s="58">
        <v>10</v>
      </c>
    </row>
    <row r="4" spans="1:9" s="58" customFormat="1" x14ac:dyDescent="0.25">
      <c r="A4" s="58" t="s">
        <v>31</v>
      </c>
      <c r="B4" s="58" t="s">
        <v>42</v>
      </c>
      <c r="C4" s="58" t="s">
        <v>73</v>
      </c>
      <c r="D4" s="59">
        <v>45982</v>
      </c>
      <c r="E4" s="59">
        <v>46003</v>
      </c>
      <c r="F4" s="58">
        <f>E4-D4</f>
        <v>21</v>
      </c>
      <c r="G4" s="58">
        <v>10</v>
      </c>
      <c r="H4" s="60">
        <f>I4/G4</f>
        <v>0</v>
      </c>
    </row>
    <row r="5" spans="1:9" s="61" customFormat="1" x14ac:dyDescent="0.25">
      <c r="A5" s="61" t="s">
        <v>6</v>
      </c>
      <c r="B5" s="61" t="s">
        <v>3</v>
      </c>
      <c r="C5" s="61" t="s">
        <v>29</v>
      </c>
      <c r="D5" s="62">
        <v>46005</v>
      </c>
      <c r="E5" s="62">
        <v>46026</v>
      </c>
      <c r="F5" s="61">
        <f>E5-D5</f>
        <v>21</v>
      </c>
      <c r="G5" s="61">
        <v>10</v>
      </c>
      <c r="H5" s="63" t="e">
        <f>#REF!/G5</f>
        <v>#REF!</v>
      </c>
    </row>
    <row r="6" spans="1:9" s="61" customFormat="1" x14ac:dyDescent="0.25">
      <c r="A6" s="61" t="s">
        <v>9</v>
      </c>
      <c r="B6" s="61" t="s">
        <v>10</v>
      </c>
      <c r="C6" s="61" t="s">
        <v>29</v>
      </c>
      <c r="D6" s="62">
        <v>46015</v>
      </c>
      <c r="E6" s="62">
        <v>46036</v>
      </c>
      <c r="F6" s="61">
        <f>E6-D6</f>
        <v>21</v>
      </c>
      <c r="G6" s="61">
        <v>10</v>
      </c>
      <c r="H6" s="63">
        <f>I6/G6</f>
        <v>0.9</v>
      </c>
      <c r="I6" s="61">
        <v>9</v>
      </c>
    </row>
    <row r="7" spans="1:9" s="61" customFormat="1" x14ac:dyDescent="0.25">
      <c r="D7" s="62"/>
      <c r="E7" s="62"/>
      <c r="H7" s="63"/>
    </row>
    <row r="9" spans="1:9" s="64" customFormat="1" x14ac:dyDescent="0.25">
      <c r="A9" s="64" t="s">
        <v>6</v>
      </c>
      <c r="B9" s="64" t="s">
        <v>3</v>
      </c>
      <c r="C9" s="64" t="s">
        <v>29</v>
      </c>
      <c r="D9" s="65">
        <v>46106</v>
      </c>
      <c r="E9" s="65">
        <v>46129</v>
      </c>
      <c r="F9" s="64">
        <f>E9-D9</f>
        <v>23</v>
      </c>
      <c r="G9" s="64">
        <v>13</v>
      </c>
      <c r="H9" s="66">
        <f>I9/G9</f>
        <v>0.61538461538461542</v>
      </c>
      <c r="I9" s="64">
        <v>8</v>
      </c>
    </row>
    <row r="10" spans="1:9" s="64" customFormat="1" x14ac:dyDescent="0.25">
      <c r="A10" s="64" t="s">
        <v>79</v>
      </c>
      <c r="B10" s="64" t="s">
        <v>80</v>
      </c>
      <c r="C10" s="64" t="s">
        <v>34</v>
      </c>
      <c r="D10" s="65">
        <v>46106</v>
      </c>
      <c r="E10" s="65">
        <v>46129</v>
      </c>
      <c r="F10" s="64">
        <f>E10-D10</f>
        <v>23</v>
      </c>
      <c r="G10" s="64">
        <v>13</v>
      </c>
      <c r="H10" s="66">
        <f>I10/G10</f>
        <v>0.23076923076923078</v>
      </c>
      <c r="I10" s="64">
        <v>3</v>
      </c>
    </row>
    <row r="11" spans="1:9" s="64" customFormat="1" x14ac:dyDescent="0.25">
      <c r="A11" s="64" t="s">
        <v>81</v>
      </c>
      <c r="B11" s="64" t="s">
        <v>82</v>
      </c>
      <c r="C11" s="64" t="s">
        <v>29</v>
      </c>
      <c r="D11" s="65">
        <v>46122</v>
      </c>
      <c r="E11" s="65">
        <v>46144</v>
      </c>
      <c r="F11" s="64">
        <f>E11-D11</f>
        <v>22</v>
      </c>
      <c r="G11" s="64">
        <v>13</v>
      </c>
      <c r="H11" s="66">
        <f>I11/G11</f>
        <v>0.38461538461538464</v>
      </c>
      <c r="I11" s="64">
        <v>5</v>
      </c>
    </row>
    <row r="12" spans="1:9" s="15" customFormat="1" x14ac:dyDescent="0.25">
      <c r="A12" s="15" t="s">
        <v>9</v>
      </c>
      <c r="B12" s="15" t="s">
        <v>10</v>
      </c>
      <c r="C12" s="15" t="s">
        <v>29</v>
      </c>
      <c r="D12" s="16">
        <v>46124</v>
      </c>
      <c r="E12" s="16">
        <v>46145</v>
      </c>
      <c r="F12" s="15">
        <f>E12-D12</f>
        <v>21</v>
      </c>
      <c r="G12" s="15">
        <v>13</v>
      </c>
      <c r="H12" s="33">
        <f>I12/G12</f>
        <v>0.84615384615384615</v>
      </c>
      <c r="I12" s="15">
        <v>11</v>
      </c>
    </row>
    <row r="13" spans="1:9" s="15" customFormat="1" x14ac:dyDescent="0.25">
      <c r="D13" s="16"/>
      <c r="E13" s="16"/>
      <c r="H13" s="33"/>
    </row>
    <row r="14" spans="1:9" s="77" customFormat="1" x14ac:dyDescent="0.25">
      <c r="A14" s="77" t="s">
        <v>83</v>
      </c>
      <c r="B14" s="77" t="s">
        <v>84</v>
      </c>
      <c r="C14" s="77" t="s">
        <v>29</v>
      </c>
      <c r="D14" s="79">
        <v>46159</v>
      </c>
      <c r="E14" s="79">
        <v>46182</v>
      </c>
      <c r="F14" s="77">
        <f>E14-D14</f>
        <v>23</v>
      </c>
      <c r="G14" s="77">
        <v>12</v>
      </c>
      <c r="H14" s="88">
        <f>I14/G14</f>
        <v>0.33333333333333331</v>
      </c>
      <c r="I14" s="77">
        <v>4</v>
      </c>
    </row>
    <row r="15" spans="1:9" s="77" customFormat="1" x14ac:dyDescent="0.25">
      <c r="A15" s="77" t="s">
        <v>85</v>
      </c>
      <c r="B15" s="77" t="s">
        <v>86</v>
      </c>
      <c r="C15" s="77" t="s">
        <v>34</v>
      </c>
      <c r="D15" s="79">
        <v>46169</v>
      </c>
      <c r="E15" s="79">
        <v>46190</v>
      </c>
      <c r="F15" s="77">
        <f>E15-D15</f>
        <v>21</v>
      </c>
      <c r="G15" s="77">
        <v>12</v>
      </c>
      <c r="H15" s="88" t="s">
        <v>87</v>
      </c>
    </row>
    <row r="16" spans="1:9" s="77" customFormat="1" x14ac:dyDescent="0.25">
      <c r="A16" s="77" t="s">
        <v>85</v>
      </c>
      <c r="B16" s="77" t="s">
        <v>86</v>
      </c>
      <c r="C16" s="77" t="s">
        <v>34</v>
      </c>
      <c r="D16" s="79">
        <v>46171</v>
      </c>
      <c r="E16" s="79">
        <v>46184</v>
      </c>
      <c r="F16" s="77">
        <f>E16-D16</f>
        <v>13</v>
      </c>
      <c r="G16" s="77">
        <v>3</v>
      </c>
      <c r="H16" s="88">
        <f>I16/G16</f>
        <v>0.33333333333333331</v>
      </c>
      <c r="I16" s="77">
        <v>1</v>
      </c>
    </row>
    <row r="17" spans="1:10" s="17" customFormat="1" x14ac:dyDescent="0.25">
      <c r="B17" s="77" t="s">
        <v>8</v>
      </c>
      <c r="C17" s="77" t="s">
        <v>29</v>
      </c>
      <c r="D17" s="79">
        <v>46188</v>
      </c>
      <c r="E17" s="79">
        <v>46209</v>
      </c>
      <c r="F17" s="77">
        <f>E17-D17</f>
        <v>21</v>
      </c>
      <c r="G17" s="77">
        <v>12</v>
      </c>
      <c r="H17" s="88">
        <f>I17/G17</f>
        <v>1</v>
      </c>
      <c r="I17" s="77">
        <v>12</v>
      </c>
      <c r="J17" s="77"/>
    </row>
    <row r="18" spans="1:10" s="77" customFormat="1" x14ac:dyDescent="0.25">
      <c r="A18" s="77" t="s">
        <v>90</v>
      </c>
      <c r="B18" s="77" t="s">
        <v>89</v>
      </c>
      <c r="C18" s="77" t="s">
        <v>34</v>
      </c>
      <c r="D18" s="79">
        <v>46194</v>
      </c>
      <c r="E18" s="79">
        <v>46215</v>
      </c>
      <c r="F18" s="77">
        <f>E18-D18</f>
        <v>21</v>
      </c>
      <c r="G18" s="77">
        <v>12</v>
      </c>
      <c r="H18" s="88">
        <f>I18/G18</f>
        <v>0.66666666666666663</v>
      </c>
      <c r="I18" s="77">
        <v>8</v>
      </c>
    </row>
    <row r="19" spans="1:10" s="77" customFormat="1" x14ac:dyDescent="0.25">
      <c r="A19" s="77" t="s">
        <v>7</v>
      </c>
      <c r="H19" s="88"/>
    </row>
    <row r="20" spans="1:10" s="77" customFormat="1" x14ac:dyDescent="0.25">
      <c r="A20" s="77" t="s">
        <v>6</v>
      </c>
      <c r="B20" s="77" t="s">
        <v>3</v>
      </c>
      <c r="C20" s="77" t="s">
        <v>29</v>
      </c>
      <c r="D20" s="79">
        <v>46221</v>
      </c>
      <c r="E20" s="79">
        <v>46245</v>
      </c>
      <c r="F20" s="77">
        <f t="shared" ref="F20:F25" si="0">E20-D20</f>
        <v>24</v>
      </c>
      <c r="G20" s="77">
        <v>12</v>
      </c>
      <c r="H20" s="88">
        <f t="shared" ref="H20:H25" si="1">I20/G20</f>
        <v>0.91666666666666663</v>
      </c>
      <c r="I20" s="77">
        <v>11</v>
      </c>
    </row>
    <row r="21" spans="1:10" s="77" customFormat="1" x14ac:dyDescent="0.25">
      <c r="A21" s="77" t="s">
        <v>9</v>
      </c>
      <c r="B21" s="77" t="s">
        <v>10</v>
      </c>
      <c r="C21" s="77" t="s">
        <v>29</v>
      </c>
      <c r="D21" s="79">
        <v>46223</v>
      </c>
      <c r="E21" s="79">
        <v>46245</v>
      </c>
      <c r="F21" s="77">
        <f t="shared" si="0"/>
        <v>22</v>
      </c>
      <c r="G21" s="77">
        <v>12</v>
      </c>
      <c r="H21" s="88">
        <f t="shared" si="1"/>
        <v>0.58333333333333337</v>
      </c>
      <c r="I21" s="77">
        <v>7</v>
      </c>
    </row>
    <row r="22" spans="1:10" s="77" customFormat="1" x14ac:dyDescent="0.25">
      <c r="A22" s="77" t="s">
        <v>79</v>
      </c>
      <c r="B22" s="77" t="s">
        <v>80</v>
      </c>
      <c r="C22" s="77" t="s">
        <v>34</v>
      </c>
      <c r="D22" s="79" t="s">
        <v>93</v>
      </c>
      <c r="E22" s="79">
        <f ca="1">TODAY()</f>
        <v>46323</v>
      </c>
      <c r="F22" s="77" t="e">
        <f t="shared" ca="1" si="0"/>
        <v>#VALUE!</v>
      </c>
      <c r="H22" s="88" t="e">
        <f t="shared" si="1"/>
        <v>#DIV/0!</v>
      </c>
    </row>
    <row r="23" spans="1:10" s="77" customFormat="1" x14ac:dyDescent="0.25">
      <c r="A23" s="77" t="s">
        <v>91</v>
      </c>
      <c r="B23" s="77" t="s">
        <v>92</v>
      </c>
      <c r="C23" s="77" t="s">
        <v>29</v>
      </c>
      <c r="D23" s="79">
        <v>46237</v>
      </c>
      <c r="E23" s="79">
        <v>46260</v>
      </c>
      <c r="F23" s="77">
        <f t="shared" si="0"/>
        <v>23</v>
      </c>
      <c r="G23" s="77">
        <v>10</v>
      </c>
      <c r="H23" s="88">
        <f t="shared" si="1"/>
        <v>0.6</v>
      </c>
      <c r="I23" s="77">
        <v>6</v>
      </c>
    </row>
    <row r="24" spans="1:10" s="77" customFormat="1" x14ac:dyDescent="0.25">
      <c r="A24" s="77" t="s">
        <v>90</v>
      </c>
      <c r="B24" s="77" t="s">
        <v>89</v>
      </c>
      <c r="C24" s="77" t="s">
        <v>34</v>
      </c>
      <c r="D24" s="79">
        <v>46297</v>
      </c>
      <c r="E24" s="79">
        <v>46318</v>
      </c>
      <c r="F24" s="77">
        <f t="shared" si="0"/>
        <v>21</v>
      </c>
      <c r="G24" s="77">
        <v>12</v>
      </c>
      <c r="H24" s="88">
        <f t="shared" si="1"/>
        <v>0.66666666666666663</v>
      </c>
      <c r="I24" s="77">
        <v>8</v>
      </c>
    </row>
    <row r="25" spans="1:10" s="77" customFormat="1" x14ac:dyDescent="0.25">
      <c r="A25" s="77" t="s">
        <v>95</v>
      </c>
      <c r="B25" s="77" t="s">
        <v>96</v>
      </c>
      <c r="C25" s="77" t="s">
        <v>29</v>
      </c>
      <c r="D25" s="79">
        <v>46291</v>
      </c>
      <c r="E25" s="79">
        <v>46312</v>
      </c>
      <c r="F25" s="77">
        <f t="shared" si="0"/>
        <v>21</v>
      </c>
      <c r="G25" s="77">
        <v>12</v>
      </c>
      <c r="H25" s="88">
        <f t="shared" si="1"/>
        <v>0</v>
      </c>
    </row>
    <row r="27" spans="1:10" s="78" customFormat="1" x14ac:dyDescent="0.25">
      <c r="A27" s="78" t="s">
        <v>75</v>
      </c>
      <c r="B27" s="78" t="s">
        <v>76</v>
      </c>
      <c r="C27" s="78" t="s">
        <v>29</v>
      </c>
      <c r="D27" s="80">
        <v>46316</v>
      </c>
      <c r="E27" s="80">
        <v>46337</v>
      </c>
      <c r="F27" s="78">
        <f>E27-D27</f>
        <v>21</v>
      </c>
      <c r="G27" s="78">
        <v>12</v>
      </c>
      <c r="H27" s="89">
        <f>I27/G27</f>
        <v>0</v>
      </c>
    </row>
    <row r="28" spans="1:10" s="78" customFormat="1" x14ac:dyDescent="0.25">
      <c r="B28" s="78" t="s">
        <v>8</v>
      </c>
      <c r="C28" s="78" t="s">
        <v>29</v>
      </c>
      <c r="D28" s="80">
        <v>46323</v>
      </c>
      <c r="E28" s="80">
        <v>46344</v>
      </c>
      <c r="F28" s="78">
        <f>E28-D28</f>
        <v>21</v>
      </c>
      <c r="G28" s="78">
        <v>12</v>
      </c>
      <c r="H28" s="89">
        <f>I28/G28</f>
        <v>0</v>
      </c>
    </row>
    <row r="29" spans="1:10" s="78" customFormat="1" x14ac:dyDescent="0.25">
      <c r="A29" s="78" t="s">
        <v>6</v>
      </c>
      <c r="B29" s="78" t="s">
        <v>3</v>
      </c>
      <c r="C29" s="78" t="s">
        <v>29</v>
      </c>
      <c r="D29" s="80"/>
      <c r="E29" s="80"/>
      <c r="H29" s="89" t="e">
        <f t="shared" ref="H29" si="2">I29/G29</f>
        <v>#DIV/0!</v>
      </c>
    </row>
    <row r="30" spans="1:10" s="78" customFormat="1" x14ac:dyDescent="0.25">
      <c r="D30" s="80"/>
      <c r="E30" s="80"/>
      <c r="H30" s="89"/>
    </row>
    <row r="31" spans="1:10" s="78" customFormat="1" x14ac:dyDescent="0.25">
      <c r="D31" s="80"/>
      <c r="E31" s="80"/>
      <c r="H31" s="89"/>
    </row>
    <row r="32" spans="1:10" s="78" customFormat="1" x14ac:dyDescent="0.25">
      <c r="D32" s="80"/>
      <c r="E32" s="80"/>
      <c r="H32" s="89"/>
    </row>
    <row r="33" spans="1:9" s="30" customFormat="1" x14ac:dyDescent="0.25">
      <c r="A33" s="30" t="s">
        <v>31</v>
      </c>
      <c r="B33" s="30" t="s">
        <v>42</v>
      </c>
      <c r="C33" s="31" t="s">
        <v>73</v>
      </c>
      <c r="D33" s="31">
        <v>45996</v>
      </c>
      <c r="E33" s="31"/>
      <c r="H33" s="32"/>
    </row>
    <row r="35" spans="1:9" s="61" customFormat="1" x14ac:dyDescent="0.25">
      <c r="A35" s="61" t="s">
        <v>75</v>
      </c>
      <c r="B35" s="61" t="s">
        <v>76</v>
      </c>
      <c r="C35" s="61" t="s">
        <v>29</v>
      </c>
      <c r="D35" s="62">
        <v>46060</v>
      </c>
      <c r="E35" s="62">
        <v>46081</v>
      </c>
      <c r="F35" s="61">
        <f>E35-D35</f>
        <v>21</v>
      </c>
      <c r="G35" s="61">
        <v>12</v>
      </c>
      <c r="H35" s="63">
        <f>I35/G35</f>
        <v>0.83333333333333337</v>
      </c>
      <c r="I35" s="61">
        <v>10</v>
      </c>
    </row>
    <row r="36" spans="1:9" s="61" customFormat="1" x14ac:dyDescent="0.25">
      <c r="A36" s="61" t="s">
        <v>7</v>
      </c>
      <c r="B36" s="61" t="s">
        <v>8</v>
      </c>
      <c r="C36" s="61" t="s">
        <v>29</v>
      </c>
      <c r="D36" s="62">
        <v>46067</v>
      </c>
      <c r="E36" s="62">
        <v>46088</v>
      </c>
      <c r="F36" s="61">
        <f>E36-D36</f>
        <v>21</v>
      </c>
      <c r="G36" s="61">
        <v>12</v>
      </c>
      <c r="H36" s="63">
        <f>I36/G36</f>
        <v>0.41666666666666669</v>
      </c>
      <c r="I36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435F-C97E-4183-A722-401AF44A76BE}">
  <dimension ref="A2:H15"/>
  <sheetViews>
    <sheetView workbookViewId="0">
      <selection activeCell="A3" sqref="A3"/>
    </sheetView>
  </sheetViews>
  <sheetFormatPr defaultRowHeight="15" x14ac:dyDescent="0.25"/>
  <cols>
    <col min="1" max="1" width="10.7109375" style="82" bestFit="1" customWidth="1"/>
    <col min="2" max="2" width="9.140625" style="82"/>
    <col min="3" max="3" width="9.140625" style="83"/>
    <col min="4" max="4" width="11.5703125" style="82" customWidth="1"/>
    <col min="5" max="6" width="9.140625" style="82"/>
    <col min="7" max="7" width="13.42578125" style="82" customWidth="1"/>
    <col min="8" max="16384" width="9.140625" style="82"/>
  </cols>
  <sheetData>
    <row r="2" spans="1:8" x14ac:dyDescent="0.25">
      <c r="A2" s="86">
        <v>46319</v>
      </c>
    </row>
    <row r="4" spans="1:8" x14ac:dyDescent="0.25">
      <c r="A4" s="82">
        <v>1</v>
      </c>
      <c r="B4" s="82" t="s">
        <v>97</v>
      </c>
      <c r="C4" s="83">
        <v>50</v>
      </c>
      <c r="D4" s="83">
        <f>C4*A4</f>
        <v>50</v>
      </c>
      <c r="G4" s="84" t="s">
        <v>102</v>
      </c>
      <c r="H4" s="82">
        <f>SUM(A:A)</f>
        <v>46331</v>
      </c>
    </row>
    <row r="5" spans="1:8" x14ac:dyDescent="0.25">
      <c r="A5" s="82">
        <v>1</v>
      </c>
      <c r="B5" s="82" t="s">
        <v>98</v>
      </c>
      <c r="C5" s="83">
        <v>50</v>
      </c>
      <c r="D5" s="83">
        <f t="shared" ref="D5:D9" si="0">C5*A5</f>
        <v>50</v>
      </c>
      <c r="G5" s="84" t="s">
        <v>101</v>
      </c>
      <c r="H5" s="83">
        <f>SUM(D:D)</f>
        <v>400</v>
      </c>
    </row>
    <row r="6" spans="1:8" x14ac:dyDescent="0.25">
      <c r="A6" s="82">
        <v>2</v>
      </c>
      <c r="B6" s="82" t="s">
        <v>99</v>
      </c>
      <c r="C6" s="83">
        <v>35</v>
      </c>
      <c r="D6" s="83">
        <f t="shared" si="0"/>
        <v>70</v>
      </c>
      <c r="G6" s="85" t="s">
        <v>103</v>
      </c>
      <c r="H6" s="83">
        <f>H5/4</f>
        <v>100</v>
      </c>
    </row>
    <row r="7" spans="1:8" x14ac:dyDescent="0.25">
      <c r="A7" s="82">
        <v>5</v>
      </c>
      <c r="B7" s="82" t="s">
        <v>99</v>
      </c>
      <c r="C7" s="83">
        <v>30</v>
      </c>
      <c r="D7" s="83">
        <f t="shared" si="0"/>
        <v>150</v>
      </c>
      <c r="G7" s="85" t="s">
        <v>104</v>
      </c>
      <c r="H7" s="83">
        <f>H5-H6</f>
        <v>300</v>
      </c>
    </row>
    <row r="8" spans="1:8" x14ac:dyDescent="0.25">
      <c r="A8" s="82">
        <v>2</v>
      </c>
      <c r="B8" s="82" t="s">
        <v>99</v>
      </c>
      <c r="C8" s="83">
        <v>25</v>
      </c>
      <c r="D8" s="83">
        <f t="shared" si="0"/>
        <v>50</v>
      </c>
      <c r="G8" s="85" t="s">
        <v>105</v>
      </c>
      <c r="H8" s="83">
        <v>250</v>
      </c>
    </row>
    <row r="9" spans="1:8" x14ac:dyDescent="0.25">
      <c r="A9" s="82">
        <v>1</v>
      </c>
      <c r="B9" s="82" t="s">
        <v>100</v>
      </c>
      <c r="C9" s="83">
        <v>30</v>
      </c>
      <c r="D9" s="83">
        <f t="shared" si="0"/>
        <v>30</v>
      </c>
    </row>
    <row r="12" spans="1:8" x14ac:dyDescent="0.25">
      <c r="C12" s="82"/>
    </row>
    <row r="13" spans="1:8" x14ac:dyDescent="0.25">
      <c r="C13" s="82"/>
    </row>
    <row r="14" spans="1:8" x14ac:dyDescent="0.25">
      <c r="C14" s="82"/>
    </row>
    <row r="15" spans="1:8" x14ac:dyDescent="0.25">
      <c r="C15" s="8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Martinho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2026-10-28T21:23:24Z</dcterms:modified>
</cp:coreProperties>
</file>