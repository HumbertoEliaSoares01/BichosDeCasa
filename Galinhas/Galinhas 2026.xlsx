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B91D0365-AFBC-45BC-B237-EF54ADFCDEEF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2" i="3" l="1"/>
  <c r="G22" i="3" s="1"/>
  <c r="F23" i="3"/>
  <c r="G23" i="3" s="1"/>
  <c r="I22" i="3" l="1"/>
  <c r="I23" i="3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8" i="3"/>
  <c r="I28" i="3"/>
  <c r="I27" i="3" l="1"/>
  <c r="G27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<sst xmlns="http://schemas.openxmlformats.org/spreadsheetml/2006/main" count="415" uniqueCount="99">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</sst>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10" fontId="14" fillId="0" borderId="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46246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46246</v>
      </c>
      <c r="F11" s="15">
        <f t="shared" ref="F11:F18" ca="1" si="3">E11-D11</f>
        <v>439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46246</v>
      </c>
      <c r="F15" s="17">
        <f t="shared" ca="1" si="3"/>
        <v>439</v>
      </c>
      <c r="G15" s="17">
        <v>14</v>
      </c>
      <c r="H15" s="22">
        <f t="shared" ca="1" si="1"/>
        <v>3.1890660592255128E-2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46246</v>
      </c>
      <c r="F19" s="12">
        <f t="shared" ref="F19:F20" ca="1" si="4">E19-D19</f>
        <v>368</v>
      </c>
      <c r="G19" s="15">
        <v>15</v>
      </c>
      <c r="H19" s="14">
        <f ca="1">G19/F19</f>
        <v>4.0760869565217392E-2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-336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-336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46246</v>
      </c>
      <c r="F24" s="19">
        <f ca="1">E24-D24</f>
        <v>342</v>
      </c>
      <c r="G24" s="19">
        <v>3</v>
      </c>
      <c r="H24" s="14">
        <f ca="1">G24/F24</f>
        <v>8.771929824561403E-3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46246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46246</v>
      </c>
      <c r="F26" s="19">
        <f ca="1">E26-D26</f>
        <v>342</v>
      </c>
      <c r="G26" s="19">
        <v>3</v>
      </c>
      <c r="H26" s="14">
        <f t="shared" ca="1" si="7"/>
        <v>8.771929824561403E-3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46246</v>
      </c>
      <c r="F27" s="19">
        <f ca="1">E27-D27</f>
        <v>342</v>
      </c>
      <c r="G27" s="19">
        <v>3</v>
      </c>
      <c r="H27" s="14">
        <f t="shared" ref="H27" ca="1" si="8">G27/F27</f>
        <v>8.771929824561403E-3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46246</v>
      </c>
      <c r="E41" s="37">
        <v>45910</v>
      </c>
      <c r="F41" s="28">
        <f ca="1">D41-E41</f>
        <v>336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46246</v>
      </c>
      <c r="E42" s="18">
        <v>45947</v>
      </c>
      <c r="F42" s="17">
        <f ca="1">D42-E42</f>
        <v>299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46246</v>
      </c>
      <c r="E43" s="18">
        <v>45953</v>
      </c>
      <c r="F43" s="17">
        <f t="shared" ref="F43:F44" ca="1" si="9">D43-E43</f>
        <v>293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46246</v>
      </c>
      <c r="E44" s="18">
        <v>45956</v>
      </c>
      <c r="F44" s="17">
        <f t="shared" ca="1" si="9"/>
        <v>290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46246</v>
      </c>
      <c r="F46" s="19">
        <f ca="1">E46-D46</f>
        <v>437</v>
      </c>
      <c r="G46" s="19" t="s">
        <v>71</v>
      </c>
      <c r="H46" s="55">
        <f ca="1">F46*2</f>
        <v>874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46246</v>
      </c>
      <c r="F47" s="19">
        <f t="shared" ref="F47:F48" ca="1" si="11">E47-D47</f>
        <v>303</v>
      </c>
      <c r="G47" s="19" t="s">
        <v>71</v>
      </c>
      <c r="H47" s="55">
        <f t="shared" ref="H47:H48" ca="1" si="12">F47*2</f>
        <v>606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46246</v>
      </c>
      <c r="F48" s="19">
        <f t="shared" ca="1" si="11"/>
        <v>285</v>
      </c>
      <c r="G48" s="19" t="s">
        <v>71</v>
      </c>
      <c r="H48" s="55">
        <f t="shared" ca="1" si="12"/>
        <v>570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46246</v>
      </c>
      <c r="E51" s="18">
        <v>46027</v>
      </c>
      <c r="F51" s="17">
        <f ca="1">D51-E51</f>
        <v>219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3" activePane="bottomLeft" state="frozen"/>
      <selection pane="bottomLeft" activeCell="C11" sqref="C11:L11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46246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46246</v>
      </c>
      <c r="G3" s="68">
        <v>45947</v>
      </c>
      <c r="H3" s="67">
        <f t="shared" ref="H3:H8" ca="1" si="0">F3-G3</f>
        <v>299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46246</v>
      </c>
      <c r="G4" s="68">
        <v>45953</v>
      </c>
      <c r="H4" s="67">
        <f t="shared" ca="1" si="0"/>
        <v>293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46246</v>
      </c>
      <c r="G5" s="68">
        <v>45956</v>
      </c>
      <c r="H5" s="67">
        <f t="shared" ca="1" si="0"/>
        <v>290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46246</v>
      </c>
      <c r="G6" s="71">
        <v>45910</v>
      </c>
      <c r="H6" s="70">
        <f t="shared" ca="1" si="0"/>
        <v>336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46246</v>
      </c>
      <c r="G7" s="68">
        <v>46027</v>
      </c>
      <c r="H7" s="67">
        <f t="shared" ca="1" si="0"/>
        <v>219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46246</v>
      </c>
      <c r="G8" s="75">
        <v>46036</v>
      </c>
      <c r="H8" s="74">
        <f t="shared" ca="1" si="0"/>
        <v>210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46246</v>
      </c>
      <c r="G9" s="18">
        <v>46082</v>
      </c>
      <c r="H9" s="17">
        <f ca="1">F9-G9</f>
        <v>164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46246</v>
      </c>
      <c r="G10" s="18">
        <v>46089</v>
      </c>
      <c r="H10" s="17">
        <f t="shared" ref="H10:H12" ca="1" si="3">F10-G10</f>
        <v>157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46246</v>
      </c>
      <c r="G11" s="73">
        <v>46129</v>
      </c>
      <c r="H11" s="17">
        <f t="shared" ca="1" si="3"/>
        <v>117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46246</v>
      </c>
      <c r="G12" s="73">
        <v>46129</v>
      </c>
      <c r="H12" s="17">
        <f t="shared" ca="1" si="3"/>
        <v>117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46246</v>
      </c>
      <c r="G13" s="73">
        <v>46182</v>
      </c>
      <c r="H13" s="17">
        <f ca="1">G13-F13</f>
        <v>-64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46246</v>
      </c>
      <c r="G14" s="77">
        <v>46184</v>
      </c>
      <c r="H14" s="17">
        <f ca="1">G14-F14</f>
        <v>-62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46246</v>
      </c>
      <c r="G15" s="18">
        <v>46216</v>
      </c>
      <c r="H15" s="17">
        <f ca="1">F15-G15</f>
        <v>30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F16" s="18"/>
      <c r="G16" s="18"/>
      <c r="I16" s="72"/>
      <c r="J16" s="72"/>
      <c r="K16" s="72"/>
      <c r="L16" s="22"/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8"/>
  <sheetViews>
    <sheetView tabSelected="1" topLeftCell="B1" workbookViewId="0">
      <pane ySplit="2" topLeftCell="A18" activePane="bottomLeft" state="frozen"/>
      <selection pane="bottomLeft" activeCell="J22" sqref="J22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46246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3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35">
      <c r="A19" s="80" t="s">
        <v>18</v>
      </c>
      <c r="B19" s="80" t="s">
        <v>7</v>
      </c>
    </row>
    <row r="20" spans="1:11" s="85" customFormat="1" x14ac:dyDescent="0.35">
      <c r="B20" s="72" t="s">
        <v>6</v>
      </c>
      <c r="C20" s="72" t="s">
        <v>3</v>
      </c>
      <c r="D20" s="72" t="s">
        <v>29</v>
      </c>
      <c r="E20" s="73">
        <v>46221</v>
      </c>
      <c r="F20" s="73">
        <v>46245</v>
      </c>
      <c r="G20" s="72">
        <f>F20-E20</f>
        <v>24</v>
      </c>
      <c r="H20" s="72">
        <v>12</v>
      </c>
      <c r="I20" s="86">
        <f>J20/H20</f>
        <v>0.91666666666666663</v>
      </c>
      <c r="J20" s="72">
        <v>11</v>
      </c>
      <c r="K20" s="86"/>
    </row>
    <row r="21" spans="1:11" s="85" customFormat="1" x14ac:dyDescent="0.35">
      <c r="B21" s="72" t="s">
        <v>9</v>
      </c>
      <c r="C21" s="72" t="s">
        <v>10</v>
      </c>
      <c r="D21" s="72" t="s">
        <v>29</v>
      </c>
      <c r="E21" s="73">
        <v>46223</v>
      </c>
      <c r="F21" s="73">
        <v>46245</v>
      </c>
      <c r="G21" s="72">
        <f>F21-E21</f>
        <v>22</v>
      </c>
      <c r="H21" s="72">
        <v>12</v>
      </c>
      <c r="I21" s="86">
        <f>J21/H21</f>
        <v>0.58333333333333337</v>
      </c>
      <c r="J21" s="72">
        <v>7</v>
      </c>
      <c r="K21" s="86"/>
    </row>
    <row r="22" spans="1:11" s="84" customFormat="1" x14ac:dyDescent="0.35">
      <c r="B22" s="17" t="s">
        <v>84</v>
      </c>
      <c r="C22" s="17" t="s">
        <v>85</v>
      </c>
      <c r="D22" s="17" t="s">
        <v>34</v>
      </c>
      <c r="E22" s="18" t="s">
        <v>98</v>
      </c>
      <c r="F22" s="18">
        <f t="shared" ref="F21:F23" ca="1" si="0">TODAY()</f>
        <v>46246</v>
      </c>
      <c r="G22" s="17" t="e">
        <f t="shared" ref="G22:G23" ca="1" si="1">F22-E22</f>
        <v>#VALUE!</v>
      </c>
      <c r="H22" s="17"/>
      <c r="I22" s="22" t="e">
        <f t="shared" ref="I22:I23" si="2">J22/H22</f>
        <v>#DIV/0!</v>
      </c>
      <c r="J22" s="17"/>
      <c r="K22" s="22"/>
    </row>
    <row r="23" spans="1:11" s="84" customFormat="1" x14ac:dyDescent="0.35">
      <c r="B23" s="17" t="s">
        <v>96</v>
      </c>
      <c r="C23" s="17" t="s">
        <v>97</v>
      </c>
      <c r="D23" s="17" t="s">
        <v>29</v>
      </c>
      <c r="E23" s="18">
        <v>46237</v>
      </c>
      <c r="F23" s="18">
        <f t="shared" ca="1" si="0"/>
        <v>46246</v>
      </c>
      <c r="G23" s="17">
        <f t="shared" ca="1" si="1"/>
        <v>9</v>
      </c>
      <c r="H23" s="17">
        <v>10</v>
      </c>
      <c r="I23" s="22">
        <f t="shared" si="2"/>
        <v>0</v>
      </c>
      <c r="J23" s="17"/>
      <c r="K23" s="22"/>
    </row>
    <row r="24" spans="1:11" x14ac:dyDescent="0.35">
      <c r="B24" s="72"/>
      <c r="C24" s="72"/>
      <c r="D24" s="72"/>
      <c r="E24" s="18"/>
      <c r="F24" s="73"/>
      <c r="G24" s="17"/>
      <c r="H24" s="17"/>
      <c r="I24" s="72"/>
      <c r="J24" s="72"/>
      <c r="K24" s="22"/>
    </row>
    <row r="25" spans="1:11" s="30" customFormat="1" x14ac:dyDescent="0.35">
      <c r="A25" s="30" t="s">
        <v>79</v>
      </c>
      <c r="B25" s="30" t="s">
        <v>31</v>
      </c>
      <c r="C25" s="30" t="s">
        <v>42</v>
      </c>
      <c r="D25" s="31" t="s">
        <v>78</v>
      </c>
      <c r="E25" s="31">
        <v>45996</v>
      </c>
      <c r="F25" s="31"/>
      <c r="I25" s="32"/>
    </row>
    <row r="27" spans="1:11" s="62" customFormat="1" x14ac:dyDescent="0.35">
      <c r="A27" s="59"/>
      <c r="B27" s="62" t="s">
        <v>80</v>
      </c>
      <c r="C27" s="62" t="s">
        <v>81</v>
      </c>
      <c r="D27" s="62" t="s">
        <v>29</v>
      </c>
      <c r="E27" s="63">
        <v>46060</v>
      </c>
      <c r="F27" s="63">
        <v>46081</v>
      </c>
      <c r="G27" s="62">
        <f>F27-E27</f>
        <v>21</v>
      </c>
      <c r="H27" s="62">
        <v>12</v>
      </c>
      <c r="I27" s="64">
        <f>J27/H27</f>
        <v>0.83333333333333337</v>
      </c>
      <c r="J27" s="62">
        <v>10</v>
      </c>
    </row>
    <row r="28" spans="1:11" s="62" customFormat="1" x14ac:dyDescent="0.35">
      <c r="B28" s="62" t="s">
        <v>7</v>
      </c>
      <c r="C28" s="62" t="s">
        <v>8</v>
      </c>
      <c r="D28" s="62" t="s">
        <v>29</v>
      </c>
      <c r="E28" s="63">
        <v>46067</v>
      </c>
      <c r="F28" s="63">
        <v>46088</v>
      </c>
      <c r="G28" s="62">
        <f>F28-E28</f>
        <v>21</v>
      </c>
      <c r="H28" s="62">
        <v>12</v>
      </c>
      <c r="I28" s="64">
        <f>J28/H28</f>
        <v>0.41666666666666669</v>
      </c>
      <c r="J28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46246</v>
      </c>
      <c r="F2" s="19">
        <f ca="1">E2-D2</f>
        <v>437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46246</v>
      </c>
      <c r="F3" s="19">
        <f ca="1">E3-D3</f>
        <v>285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2026-08-12T10:36:34Z</dcterms:modified>
</cp:coreProperties>
</file>