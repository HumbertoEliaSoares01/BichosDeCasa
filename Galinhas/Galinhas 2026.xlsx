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A143F4CB-6750-4D2A-A2C8-5E2EFD249456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" i="3" l="1"/>
  <c r="L16" i="2"/>
  <c r="F16" i="2"/>
  <c r="G16" i="2"/>
  <c r="H16" i="2" l="1"/>
  <c r="F22" i="3"/>
  <c r="G22" i="3" s="1"/>
  <c r="G23" i="3"/>
  <c r="I22" i="3" l="1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8" i="3"/>
  <c r="I28" i="3"/>
  <c r="I27" i="3" l="1"/>
  <c r="G27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<sst xmlns="http://schemas.openxmlformats.org/spreadsheetml/2006/main" count="419" uniqueCount="99">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</sst>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  <xf numFmtId="0" fontId="0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46262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46262</v>
      </c>
      <c r="F11" s="15">
        <f t="shared" ref="F11:F18" ca="1" si="3">E11-D11</f>
        <v>455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46262</v>
      </c>
      <c r="F15" s="17">
        <f t="shared" ca="1" si="3"/>
        <v>455</v>
      </c>
      <c r="G15" s="17">
        <v>14</v>
      </c>
      <c r="H15" s="22">
        <f t="shared" ca="1" si="1"/>
        <v>3.0769230769230771E-2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46262</v>
      </c>
      <c r="F19" s="12">
        <f t="shared" ref="F19:F20" ca="1" si="4">E19-D19</f>
        <v>384</v>
      </c>
      <c r="G19" s="15">
        <v>15</v>
      </c>
      <c r="H19" s="14">
        <f ca="1">G19/F19</f>
        <v>3.90625E-2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-352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-352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46262</v>
      </c>
      <c r="F24" s="19">
        <f ca="1">E24-D24</f>
        <v>358</v>
      </c>
      <c r="G24" s="19">
        <v>3</v>
      </c>
      <c r="H24" s="14">
        <f ca="1">G24/F24</f>
        <v>8.3798882681564244E-3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46262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46262</v>
      </c>
      <c r="F26" s="19">
        <f ca="1">E26-D26</f>
        <v>358</v>
      </c>
      <c r="G26" s="19">
        <v>3</v>
      </c>
      <c r="H26" s="14">
        <f t="shared" ca="1" si="7"/>
        <v>8.3798882681564244E-3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46262</v>
      </c>
      <c r="F27" s="19">
        <f ca="1">E27-D27</f>
        <v>358</v>
      </c>
      <c r="G27" s="19">
        <v>3</v>
      </c>
      <c r="H27" s="14">
        <f t="shared" ref="H27" ca="1" si="8">G27/F27</f>
        <v>8.3798882681564244E-3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46262</v>
      </c>
      <c r="E41" s="37">
        <v>45910</v>
      </c>
      <c r="F41" s="28">
        <f ca="1">D41-E41</f>
        <v>352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46262</v>
      </c>
      <c r="E42" s="18">
        <v>45947</v>
      </c>
      <c r="F42" s="17">
        <f ca="1">D42-E42</f>
        <v>315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46262</v>
      </c>
      <c r="E43" s="18">
        <v>45953</v>
      </c>
      <c r="F43" s="17">
        <f t="shared" ref="F43:F44" ca="1" si="9">D43-E43</f>
        <v>309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46262</v>
      </c>
      <c r="E44" s="18">
        <v>45956</v>
      </c>
      <c r="F44" s="17">
        <f t="shared" ca="1" si="9"/>
        <v>306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46262</v>
      </c>
      <c r="F46" s="19">
        <f ca="1">E46-D46</f>
        <v>453</v>
      </c>
      <c r="G46" s="19" t="s">
        <v>71</v>
      </c>
      <c r="H46" s="55">
        <f ca="1">F46*2</f>
        <v>906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46262</v>
      </c>
      <c r="F47" s="19">
        <f t="shared" ref="F47:F48" ca="1" si="11">E47-D47</f>
        <v>319</v>
      </c>
      <c r="G47" s="19" t="s">
        <v>71</v>
      </c>
      <c r="H47" s="55">
        <f t="shared" ref="H47:H48" ca="1" si="12">F47*2</f>
        <v>638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46262</v>
      </c>
      <c r="F48" s="19">
        <f t="shared" ca="1" si="11"/>
        <v>301</v>
      </c>
      <c r="G48" s="19" t="s">
        <v>71</v>
      </c>
      <c r="H48" s="55">
        <f t="shared" ca="1" si="12"/>
        <v>602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46262</v>
      </c>
      <c r="E51" s="18">
        <v>46027</v>
      </c>
      <c r="F51" s="17">
        <f ca="1">D51-E51</f>
        <v>235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9" activePane="bottomLeft" state="frozen"/>
      <selection pane="bottomLeft" activeCell="G18" sqref="G18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46262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46262</v>
      </c>
      <c r="G3" s="68">
        <v>45947</v>
      </c>
      <c r="H3" s="67">
        <f t="shared" ref="H3:H8" ca="1" si="0">F3-G3</f>
        <v>315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46262</v>
      </c>
      <c r="G4" s="68">
        <v>45953</v>
      </c>
      <c r="H4" s="67">
        <f t="shared" ca="1" si="0"/>
        <v>309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46262</v>
      </c>
      <c r="G5" s="68">
        <v>45956</v>
      </c>
      <c r="H5" s="67">
        <f t="shared" ca="1" si="0"/>
        <v>306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46262</v>
      </c>
      <c r="G6" s="71">
        <v>45910</v>
      </c>
      <c r="H6" s="70">
        <f t="shared" ca="1" si="0"/>
        <v>352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46262</v>
      </c>
      <c r="G7" s="68">
        <v>46027</v>
      </c>
      <c r="H7" s="67">
        <f t="shared" ca="1" si="0"/>
        <v>235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46262</v>
      </c>
      <c r="G8" s="75">
        <v>46036</v>
      </c>
      <c r="H8" s="74">
        <f t="shared" ca="1" si="0"/>
        <v>226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46262</v>
      </c>
      <c r="G9" s="18">
        <v>46082</v>
      </c>
      <c r="H9" s="17">
        <f ca="1">F9-G9</f>
        <v>180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46262</v>
      </c>
      <c r="G10" s="18">
        <v>46089</v>
      </c>
      <c r="H10" s="17">
        <f t="shared" ref="H10:H12" ca="1" si="3">F10-G10</f>
        <v>173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46262</v>
      </c>
      <c r="G11" s="73">
        <v>46129</v>
      </c>
      <c r="H11" s="17">
        <f t="shared" ca="1" si="3"/>
        <v>133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46262</v>
      </c>
      <c r="G12" s="73">
        <v>46129</v>
      </c>
      <c r="H12" s="17">
        <f t="shared" ca="1" si="3"/>
        <v>133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46262</v>
      </c>
      <c r="G13" s="73">
        <v>46182</v>
      </c>
      <c r="H13" s="17">
        <f ca="1">G13-F13</f>
        <v>-80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46262</v>
      </c>
      <c r="G14" s="77">
        <v>46184</v>
      </c>
      <c r="H14" s="17">
        <f ca="1">G14-F14</f>
        <v>-78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C15" s="17" t="s">
        <v>95</v>
      </c>
      <c r="D15" s="17" t="s">
        <v>94</v>
      </c>
      <c r="E15" s="17" t="s">
        <v>34</v>
      </c>
      <c r="F15" s="18">
        <f ca="1">TODAY()</f>
        <v>46262</v>
      </c>
      <c r="G15" s="18">
        <v>46216</v>
      </c>
      <c r="H15" s="17">
        <f ca="1">F15-G15</f>
        <v>46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17" customFormat="1" x14ac:dyDescent="0.35">
      <c r="C16" s="17" t="s">
        <v>96</v>
      </c>
      <c r="D16" s="17" t="s">
        <v>97</v>
      </c>
      <c r="E16" s="17" t="s">
        <v>29</v>
      </c>
      <c r="F16" s="18">
        <f ca="1">TODAY()</f>
        <v>46262</v>
      </c>
      <c r="G16" s="18">
        <f t="shared" ref="G16" ca="1" si="4">TODAY()</f>
        <v>46262</v>
      </c>
      <c r="H16" s="17">
        <f t="shared" ref="H16" ca="1" si="5">G16-F16</f>
        <v>0</v>
      </c>
      <c r="I16" s="72" t="s">
        <v>54</v>
      </c>
      <c r="J16" s="72">
        <v>6</v>
      </c>
      <c r="K16" s="72">
        <v>6</v>
      </c>
      <c r="L16" s="22">
        <f>K16/J16</f>
        <v>1</v>
      </c>
    </row>
    <row r="17" spans="1:13" s="17" customFormat="1" x14ac:dyDescent="0.35">
      <c r="F17" s="18"/>
      <c r="G17" s="18"/>
      <c r="I17" s="72"/>
      <c r="J17" s="72"/>
      <c r="K17" s="72"/>
      <c r="L17" s="22"/>
    </row>
    <row r="18" spans="1:13" s="17" customFormat="1" x14ac:dyDescent="0.35">
      <c r="F18" s="18"/>
      <c r="G18" s="18"/>
      <c r="I18" s="72"/>
      <c r="J18" s="72"/>
      <c r="K18" s="72"/>
      <c r="L18" s="22"/>
    </row>
    <row r="19" spans="1:13" s="15" customFormat="1" x14ac:dyDescent="0.3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3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3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8"/>
  <sheetViews>
    <sheetView tabSelected="1" topLeftCell="B1" workbookViewId="0">
      <pane ySplit="2" topLeftCell="A15" activePane="bottomLeft" state="frozen"/>
      <selection pane="bottomLeft" activeCell="F24" sqref="F24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46262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C17" s="80" t="s">
        <v>8</v>
      </c>
      <c r="D17" s="80" t="s">
        <v>29</v>
      </c>
      <c r="E17" s="81">
        <v>46188</v>
      </c>
      <c r="F17" s="81">
        <v>46209</v>
      </c>
      <c r="G17" s="82">
        <f>F17-E17</f>
        <v>21</v>
      </c>
      <c r="H17" s="80">
        <v>12</v>
      </c>
      <c r="I17" s="83">
        <f>J17/H17</f>
        <v>1</v>
      </c>
      <c r="J17" s="80">
        <v>12</v>
      </c>
      <c r="K17" s="80"/>
    </row>
    <row r="18" spans="1:11" s="80" customFormat="1" x14ac:dyDescent="0.35">
      <c r="A18" s="80" t="s">
        <v>18</v>
      </c>
      <c r="B18" s="80" t="s">
        <v>7</v>
      </c>
      <c r="C18" s="80" t="s">
        <v>94</v>
      </c>
      <c r="D18" s="80" t="s">
        <v>34</v>
      </c>
      <c r="E18" s="81">
        <v>46194</v>
      </c>
      <c r="F18" s="81">
        <v>46215</v>
      </c>
      <c r="G18" s="82">
        <f>F18-E18</f>
        <v>21</v>
      </c>
      <c r="H18" s="80">
        <v>12</v>
      </c>
      <c r="I18" s="83">
        <f>J18/H18</f>
        <v>0.66666666666666663</v>
      </c>
      <c r="J18" s="80">
        <v>8</v>
      </c>
    </row>
    <row r="19" spans="1:11" s="80" customFormat="1" x14ac:dyDescent="0.35">
      <c r="A19" s="80" t="s">
        <v>18</v>
      </c>
      <c r="B19" s="80" t="s">
        <v>7</v>
      </c>
    </row>
    <row r="20" spans="1:11" s="80" customFormat="1" x14ac:dyDescent="0.35">
      <c r="B20" s="80" t="s">
        <v>6</v>
      </c>
      <c r="C20" s="80" t="s">
        <v>3</v>
      </c>
      <c r="D20" s="80" t="s">
        <v>29</v>
      </c>
      <c r="E20" s="81">
        <v>46221</v>
      </c>
      <c r="F20" s="81">
        <v>46245</v>
      </c>
      <c r="G20" s="82">
        <f>F20-E20</f>
        <v>24</v>
      </c>
      <c r="H20" s="80">
        <v>12</v>
      </c>
      <c r="I20" s="83">
        <f>J20/H20</f>
        <v>0.91666666666666663</v>
      </c>
      <c r="J20" s="80">
        <v>11</v>
      </c>
    </row>
    <row r="21" spans="1:11" s="80" customFormat="1" x14ac:dyDescent="0.35">
      <c r="B21" s="80" t="s">
        <v>9</v>
      </c>
      <c r="C21" s="80" t="s">
        <v>10</v>
      </c>
      <c r="D21" s="80" t="s">
        <v>29</v>
      </c>
      <c r="E21" s="81">
        <v>46223</v>
      </c>
      <c r="F21" s="81">
        <v>46245</v>
      </c>
      <c r="G21" s="82">
        <f>F21-E21</f>
        <v>22</v>
      </c>
      <c r="H21" s="80">
        <v>12</v>
      </c>
      <c r="I21" s="83">
        <f>J21/H21</f>
        <v>0.58333333333333337</v>
      </c>
      <c r="J21" s="80">
        <v>7</v>
      </c>
    </row>
    <row r="22" spans="1:11" s="84" customFormat="1" x14ac:dyDescent="0.35">
      <c r="B22" s="17" t="s">
        <v>84</v>
      </c>
      <c r="C22" s="17" t="s">
        <v>85</v>
      </c>
      <c r="D22" s="17" t="s">
        <v>34</v>
      </c>
      <c r="E22" s="18" t="s">
        <v>98</v>
      </c>
      <c r="F22" s="18">
        <f t="shared" ref="F22:F23" ca="1" si="0">TODAY()</f>
        <v>46262</v>
      </c>
      <c r="G22" s="17" t="e">
        <f t="shared" ref="G22:G23" ca="1" si="1">F22-E22</f>
        <v>#VALUE!</v>
      </c>
      <c r="H22" s="17"/>
      <c r="I22" s="22" t="e">
        <f t="shared" ref="I22:I23" si="2">J22/H22</f>
        <v>#DIV/0!</v>
      </c>
      <c r="J22" s="17"/>
      <c r="K22" s="22"/>
    </row>
    <row r="23" spans="1:11" s="80" customFormat="1" x14ac:dyDescent="0.35">
      <c r="B23" s="80" t="s">
        <v>96</v>
      </c>
      <c r="C23" s="80" t="s">
        <v>97</v>
      </c>
      <c r="D23" s="80" t="s">
        <v>29</v>
      </c>
      <c r="E23" s="81">
        <v>46237</v>
      </c>
      <c r="F23" s="81">
        <v>46260</v>
      </c>
      <c r="G23" s="82">
        <f t="shared" si="1"/>
        <v>23</v>
      </c>
      <c r="H23" s="80">
        <v>10</v>
      </c>
      <c r="I23" s="22">
        <f t="shared" si="2"/>
        <v>0.6</v>
      </c>
      <c r="J23" s="80">
        <v>6</v>
      </c>
    </row>
    <row r="24" spans="1:11" x14ac:dyDescent="0.35">
      <c r="B24" s="72"/>
      <c r="C24" s="72"/>
      <c r="D24" s="72"/>
      <c r="E24" s="18"/>
      <c r="F24" s="73"/>
      <c r="G24" s="17"/>
      <c r="H24" s="17"/>
      <c r="I24" s="72"/>
      <c r="J24" s="72"/>
      <c r="K24" s="22"/>
    </row>
    <row r="25" spans="1:11" s="30" customFormat="1" x14ac:dyDescent="0.35">
      <c r="A25" s="30" t="s">
        <v>79</v>
      </c>
      <c r="B25" s="30" t="s">
        <v>31</v>
      </c>
      <c r="C25" s="30" t="s">
        <v>42</v>
      </c>
      <c r="D25" s="31" t="s">
        <v>78</v>
      </c>
      <c r="E25" s="31">
        <v>45996</v>
      </c>
      <c r="F25" s="31"/>
      <c r="I25" s="32"/>
    </row>
    <row r="27" spans="1:11" s="62" customFormat="1" x14ac:dyDescent="0.35">
      <c r="A27" s="59"/>
      <c r="B27" s="62" t="s">
        <v>80</v>
      </c>
      <c r="C27" s="62" t="s">
        <v>81</v>
      </c>
      <c r="D27" s="62" t="s">
        <v>29</v>
      </c>
      <c r="E27" s="63">
        <v>46060</v>
      </c>
      <c r="F27" s="63">
        <v>46081</v>
      </c>
      <c r="G27" s="62">
        <f>F27-E27</f>
        <v>21</v>
      </c>
      <c r="H27" s="62">
        <v>12</v>
      </c>
      <c r="I27" s="64">
        <f>J27/H27</f>
        <v>0.83333333333333337</v>
      </c>
      <c r="J27" s="62">
        <v>10</v>
      </c>
    </row>
    <row r="28" spans="1:11" s="62" customFormat="1" x14ac:dyDescent="0.35">
      <c r="B28" s="62" t="s">
        <v>7</v>
      </c>
      <c r="C28" s="62" t="s">
        <v>8</v>
      </c>
      <c r="D28" s="62" t="s">
        <v>29</v>
      </c>
      <c r="E28" s="63">
        <v>46067</v>
      </c>
      <c r="F28" s="63">
        <v>46088</v>
      </c>
      <c r="G28" s="62">
        <f>F28-E28</f>
        <v>21</v>
      </c>
      <c r="H28" s="62">
        <v>12</v>
      </c>
      <c r="I28" s="64">
        <f>J28/H28</f>
        <v>0.41666666666666669</v>
      </c>
      <c r="J28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46262</v>
      </c>
      <c r="F2" s="19">
        <f ca="1">E2-D2</f>
        <v>453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46262</v>
      </c>
      <c r="F3" s="19">
        <f ca="1">E3-D3</f>
        <v>301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2026-08-28T18:55:45Z</dcterms:modified>
</cp:coreProperties>
</file>