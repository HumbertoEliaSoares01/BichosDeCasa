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chosDeCasa\Galinhas\"/>
    </mc:Choice>
  </mc:AlternateContent>
  <xr:revisionPtr revIDLastSave="0" documentId="13_ncr:1_{1BE479B0-160C-422A-ABCD-EA13A3B30EAB}" xr6:coauthVersionLast="36" xr6:coauthVersionMax="36" xr10:uidLastSave="{00000000-0000-0000-0000-000000000000}"/>
  <bookViews>
    <workbookView xWindow="0" yWindow="0" windowWidth="14370" windowHeight="3840" activeTab="1" xr2:uid="{0FF26368-0124-41AC-ABBE-7DCA2B31386A}"/>
  </bookViews>
  <sheets>
    <sheet name="galinhas" sheetId="1" r:id="rId1"/>
    <sheet name="criando" sheetId="2" r:id="rId2"/>
    <sheet name="chocando" sheetId="3" r:id="rId3"/>
    <sheet name="botando" sheetId="4" r:id="rId4"/>
  </sheets>
  <definedNames>
    <definedName name="preçoDoOvo">galinhas!$H$1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G7" i="2" s="1"/>
  <c r="E6" i="2" l="1"/>
  <c r="G6" i="2" s="1"/>
  <c r="D51" i="1"/>
  <c r="F51" i="1" s="1"/>
  <c r="I8" i="3" l="1"/>
  <c r="G8" i="3"/>
  <c r="I7" i="3" l="1"/>
  <c r="G7" i="3"/>
  <c r="H50" i="1"/>
  <c r="F50" i="1"/>
  <c r="I4" i="3" l="1"/>
  <c r="G4" i="3"/>
  <c r="J1" i="4" l="1"/>
  <c r="E3" i="4"/>
  <c r="F3" i="4" s="1"/>
  <c r="E2" i="4"/>
  <c r="F2" i="4" s="1"/>
  <c r="E47" i="1"/>
  <c r="F47" i="1" s="1"/>
  <c r="H47" i="1" s="1"/>
  <c r="E48" i="1"/>
  <c r="F48" i="1" s="1"/>
  <c r="H48" i="1" s="1"/>
  <c r="E46" i="1"/>
  <c r="F46" i="1" s="1"/>
  <c r="H46" i="1" s="1"/>
  <c r="I3" i="3" l="1"/>
  <c r="G1" i="3" s="1"/>
  <c r="G3" i="3"/>
  <c r="C1" i="3"/>
  <c r="G1" i="2"/>
  <c r="C1" i="2"/>
  <c r="E5" i="2"/>
  <c r="G5" i="2" s="1"/>
  <c r="E4" i="2"/>
  <c r="G4" i="2" s="1"/>
  <c r="E3" i="2"/>
  <c r="G3" i="2" s="1"/>
  <c r="H45" i="1" l="1"/>
  <c r="F45" i="1"/>
  <c r="D44" i="1" l="1"/>
  <c r="F44" i="1" s="1"/>
  <c r="D1" i="1" l="1"/>
  <c r="D43" i="1"/>
  <c r="F43" i="1" s="1"/>
  <c r="D41" i="1" l="1"/>
  <c r="F41" i="1" s="1"/>
  <c r="D42" i="1"/>
  <c r="F42" i="1" s="1"/>
  <c r="H33" i="1" l="1"/>
  <c r="F33" i="1"/>
  <c r="H32" i="1" l="1"/>
  <c r="F32" i="1"/>
  <c r="H31" i="1" l="1"/>
  <c r="F31" i="1"/>
  <c r="E25" i="1" l="1"/>
  <c r="E27" i="1"/>
  <c r="F27" i="1" s="1"/>
  <c r="H27" i="1" s="1"/>
  <c r="E26" i="1"/>
  <c r="F26" i="1" s="1"/>
  <c r="H26" i="1" s="1"/>
  <c r="I22" i="1"/>
  <c r="I21" i="1"/>
  <c r="F22" i="1"/>
  <c r="H22" i="1" s="1"/>
  <c r="F21" i="1"/>
  <c r="H21" i="1" s="1"/>
  <c r="H25" i="1" l="1"/>
  <c r="I23" i="1" l="1"/>
  <c r="I30" i="1"/>
  <c r="H23" i="1"/>
  <c r="F18" i="1"/>
  <c r="H30" i="1"/>
  <c r="H28" i="1"/>
  <c r="H34" i="1"/>
  <c r="E24" i="1"/>
  <c r="F24" i="1" s="1"/>
  <c r="H24" i="1" s="1"/>
  <c r="E19" i="1" l="1"/>
  <c r="F20" i="1" l="1"/>
  <c r="H20" i="1" s="1"/>
  <c r="F19" i="1" l="1"/>
  <c r="H19" i="1" s="1"/>
  <c r="H18" i="1" l="1"/>
  <c r="H29" i="1" l="1"/>
  <c r="H17" i="1"/>
  <c r="H16" i="1"/>
  <c r="E15" i="1"/>
  <c r="F15" i="1" s="1"/>
  <c r="H15" i="1" s="1"/>
  <c r="F12" i="1" l="1"/>
  <c r="H12" i="1" s="1"/>
  <c r="F13" i="1"/>
  <c r="H13" i="1" s="1"/>
  <c r="F14" i="1"/>
  <c r="H14" i="1" s="1"/>
  <c r="E7" i="1" l="1"/>
  <c r="F7" i="1" l="1"/>
  <c r="H7" i="1" s="1"/>
  <c r="E11" i="1"/>
  <c r="E6" i="1"/>
  <c r="F6" i="1" s="1"/>
  <c r="E5" i="1"/>
  <c r="F5" i="1" s="1"/>
  <c r="H5" i="1" s="1"/>
  <c r="F11" i="1" l="1"/>
  <c r="H11" i="1" s="1"/>
  <c r="H6" i="1"/>
  <c r="F9" i="1"/>
  <c r="H9" i="1" s="1"/>
  <c r="F10" i="1"/>
  <c r="H10" i="1" s="1"/>
  <c r="F8" i="1"/>
  <c r="H8" i="1" s="1"/>
  <c r="F3" i="1"/>
  <c r="H3" i="1" s="1"/>
  <c r="F4" i="1" l="1"/>
  <c r="H4" i="1" s="1"/>
  <c r="C1" i="1"/>
</calcChain>
</file>

<file path=xl/sharedStrings.xml><?xml version="1.0" encoding="utf-8"?>
<sst xmlns="http://schemas.openxmlformats.org/spreadsheetml/2006/main" count="315" uniqueCount="80">
  <si>
    <t>HOJE</t>
  </si>
  <si>
    <t>Lisboa</t>
  </si>
  <si>
    <t>Iolanda</t>
  </si>
  <si>
    <t>Merilyn</t>
  </si>
  <si>
    <t>LI</t>
  </si>
  <si>
    <t>IO</t>
  </si>
  <si>
    <t>ME</t>
  </si>
  <si>
    <t>DA</t>
  </si>
  <si>
    <t>Dalvinha</t>
  </si>
  <si>
    <t>AL</t>
  </si>
  <si>
    <t>Alvinha</t>
  </si>
  <si>
    <t>INICIAL</t>
  </si>
  <si>
    <t>NOME</t>
  </si>
  <si>
    <t>TEMPO</t>
  </si>
  <si>
    <t>OVOS</t>
  </si>
  <si>
    <t>DATA 1</t>
  </si>
  <si>
    <t>DATA 2</t>
  </si>
  <si>
    <t>chocando</t>
  </si>
  <si>
    <t>criando</t>
  </si>
  <si>
    <t>NE</t>
  </si>
  <si>
    <t>Neiva</t>
  </si>
  <si>
    <t>ECLOSÃO%</t>
  </si>
  <si>
    <t>botando</t>
  </si>
  <si>
    <t>dias de idade</t>
  </si>
  <si>
    <t>CA</t>
  </si>
  <si>
    <t>Carlotinha</t>
  </si>
  <si>
    <t>Rhodia</t>
  </si>
  <si>
    <t>Silvana</t>
  </si>
  <si>
    <t>SI</t>
  </si>
  <si>
    <t>Caipira</t>
  </si>
  <si>
    <t>Índia</t>
  </si>
  <si>
    <t>VA</t>
  </si>
  <si>
    <t>crescendo</t>
  </si>
  <si>
    <t>5 frango/as</t>
  </si>
  <si>
    <t>Polaca</t>
  </si>
  <si>
    <t>moreu</t>
  </si>
  <si>
    <t>galando</t>
  </si>
  <si>
    <t>.SA</t>
  </si>
  <si>
    <t>Saramago</t>
  </si>
  <si>
    <t>Kg</t>
  </si>
  <si>
    <t>Índio Polaco</t>
  </si>
  <si>
    <t>sumiu</t>
  </si>
  <si>
    <t>Vanilce</t>
  </si>
  <si>
    <t>.MU</t>
  </si>
  <si>
    <t>Mufasa</t>
  </si>
  <si>
    <t>Frango/a</t>
  </si>
  <si>
    <t>RO</t>
  </si>
  <si>
    <t>Rodinha</t>
  </si>
  <si>
    <t>SR</t>
  </si>
  <si>
    <t>Sarabi</t>
  </si>
  <si>
    <t>BR</t>
  </si>
  <si>
    <t>AM</t>
  </si>
  <si>
    <t>Branca</t>
  </si>
  <si>
    <t>Amarela</t>
  </si>
  <si>
    <t>dias de vida</t>
  </si>
  <si>
    <t>5 AL+LI</t>
  </si>
  <si>
    <t>Soraya Queimada</t>
  </si>
  <si>
    <t>SQ</t>
  </si>
  <si>
    <t>cabeças</t>
  </si>
  <si>
    <t>estado</t>
  </si>
  <si>
    <t>sigla</t>
  </si>
  <si>
    <t>hoje</t>
  </si>
  <si>
    <t>nascimento</t>
  </si>
  <si>
    <t>idade</t>
  </si>
  <si>
    <t>unidade</t>
  </si>
  <si>
    <t>quantidade</t>
  </si>
  <si>
    <t>tipo</t>
  </si>
  <si>
    <t>nome</t>
  </si>
  <si>
    <t>pintinhos</t>
  </si>
  <si>
    <t>deitou</t>
  </si>
  <si>
    <t>dias</t>
  </si>
  <si>
    <t>ovos</t>
  </si>
  <si>
    <t>eclosão</t>
  </si>
  <si>
    <t>TAXA DE ECLOSÃO GERAL</t>
  </si>
  <si>
    <t>preço do ovo</t>
  </si>
  <si>
    <t>iniciais</t>
  </si>
  <si>
    <t>início</t>
  </si>
  <si>
    <t>ovosXdia</t>
  </si>
  <si>
    <t>polaca</t>
  </si>
  <si>
    <t>morreu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</si>
</sst>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0" fontId="7" fillId="0" borderId="0" xfId="0" applyNumberFormat="1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4" fontId="8" fillId="2" borderId="0" xfId="0" applyNumberFormat="1" applyFont="1" applyFill="1" applyBorder="1" applyAlignment="1">
      <alignment horizontal="center" vertical="center"/>
    </xf>
    <xf numFmtId="10" fontId="8" fillId="2" borderId="0" xfId="0" applyNumberFormat="1" applyFont="1" applyFill="1" applyBorder="1" applyAlignment="1">
      <alignment horizontal="center" vertical="center"/>
    </xf>
    <xf numFmtId="10" fontId="9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4" fontId="1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0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10" fontId="12" fillId="0" borderId="0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D903-D903-49BC-88F3-86B94027E03B}">
  <dimension ref="A1:J58"/>
  <sheetViews>
    <sheetView workbookViewId="0">
      <pane ySplit="1" topLeftCell="A44" activePane="bottomLeft" state="frozen"/>
      <selection pane="bottomLeft" activeCell="A49" sqref="A49:XFD49"/>
    </sheetView>
  </sheetViews>
  <sheetFormatPr defaultRowHeight="15" x14ac:dyDescent="0.25"/>
  <cols>
    <col min="1" max="1" width="15.42578125" style="2" customWidth="1"/>
    <col min="2" max="2" width="9.140625" style="1"/>
    <col min="3" max="3" width="16.85546875" style="2" customWidth="1"/>
    <col min="4" max="4" width="13.42578125" style="2" customWidth="1"/>
    <col min="5" max="5" width="14.28515625" style="2" customWidth="1"/>
    <col min="6" max="6" width="10.7109375" style="2" bestFit="1" customWidth="1"/>
    <col min="7" max="7" width="9.140625" style="2"/>
    <col min="8" max="8" width="11.7109375" style="11" customWidth="1"/>
    <col min="9" max="9" width="10.7109375" style="2" bestFit="1" customWidth="1"/>
    <col min="10" max="10" width="12.28515625" style="2" customWidth="1"/>
    <col min="11" max="16384" width="9.140625" style="2"/>
  </cols>
  <sheetData>
    <row r="1" spans="1:8" s="5" customFormat="1" ht="19.5" thickBot="1" x14ac:dyDescent="0.3">
      <c r="B1" s="6" t="s">
        <v>0</v>
      </c>
      <c r="C1" s="40">
        <f ca="1">TODAY()</f>
        <v>46036</v>
      </c>
      <c r="D1" s="41">
        <f>SUM(I32:I43)</f>
        <v>33</v>
      </c>
      <c r="E1" s="42" t="s">
        <v>58</v>
      </c>
      <c r="G1" s="54" t="s">
        <v>74</v>
      </c>
      <c r="H1" s="55">
        <v>2</v>
      </c>
    </row>
    <row r="2" spans="1:8" s="3" customFormat="1" ht="15.75" thickBot="1" x14ac:dyDescent="0.3">
      <c r="B2" s="4" t="s">
        <v>11</v>
      </c>
      <c r="C2" s="3" t="s">
        <v>12</v>
      </c>
      <c r="D2" s="3" t="s">
        <v>15</v>
      </c>
      <c r="E2" s="3" t="s">
        <v>16</v>
      </c>
      <c r="F2" s="3" t="s">
        <v>13</v>
      </c>
      <c r="G2" s="3" t="s">
        <v>14</v>
      </c>
      <c r="H2" s="9" t="s">
        <v>21</v>
      </c>
    </row>
    <row r="3" spans="1:8" s="7" customFormat="1" x14ac:dyDescent="0.25">
      <c r="A3" s="7" t="s">
        <v>17</v>
      </c>
      <c r="B3" s="7" t="s">
        <v>4</v>
      </c>
      <c r="C3" s="7" t="s">
        <v>1</v>
      </c>
      <c r="D3" s="8">
        <v>45737</v>
      </c>
      <c r="E3" s="8">
        <v>45758</v>
      </c>
      <c r="F3" s="7">
        <f>E3-D3</f>
        <v>21</v>
      </c>
      <c r="G3" s="7">
        <v>16</v>
      </c>
      <c r="H3" s="10">
        <f>G3/F3</f>
        <v>0.76190476190476186</v>
      </c>
    </row>
    <row r="4" spans="1:8" s="12" customFormat="1" x14ac:dyDescent="0.25">
      <c r="A4" s="12" t="s">
        <v>17</v>
      </c>
      <c r="B4" s="12" t="s">
        <v>5</v>
      </c>
      <c r="C4" s="12" t="s">
        <v>2</v>
      </c>
      <c r="D4" s="13">
        <v>45737</v>
      </c>
      <c r="E4" s="13">
        <v>45758</v>
      </c>
      <c r="F4" s="12">
        <f t="shared" ref="F4:F7" si="0">E4-D4</f>
        <v>21</v>
      </c>
      <c r="G4" s="12">
        <v>16</v>
      </c>
      <c r="H4" s="14">
        <f t="shared" ref="H4:H34" si="1">G4/F4</f>
        <v>0.76190476190476186</v>
      </c>
    </row>
    <row r="5" spans="1:8" s="15" customFormat="1" x14ac:dyDescent="0.25">
      <c r="A5" s="15" t="s">
        <v>17</v>
      </c>
      <c r="B5" s="15" t="s">
        <v>7</v>
      </c>
      <c r="C5" s="15" t="s">
        <v>8</v>
      </c>
      <c r="D5" s="16">
        <v>45748</v>
      </c>
      <c r="E5" s="16">
        <f>D5+21</f>
        <v>45769</v>
      </c>
      <c r="F5" s="12">
        <f t="shared" si="0"/>
        <v>21</v>
      </c>
      <c r="G5" s="15">
        <v>12</v>
      </c>
      <c r="H5" s="14">
        <f t="shared" si="1"/>
        <v>0.5714285714285714</v>
      </c>
    </row>
    <row r="6" spans="1:8" s="15" customFormat="1" x14ac:dyDescent="0.25">
      <c r="A6" s="15" t="s">
        <v>17</v>
      </c>
      <c r="B6" s="15" t="s">
        <v>9</v>
      </c>
      <c r="C6" s="15" t="s">
        <v>10</v>
      </c>
      <c r="D6" s="16">
        <v>45753</v>
      </c>
      <c r="E6" s="16">
        <f>D6+21</f>
        <v>45774</v>
      </c>
      <c r="F6" s="12">
        <f t="shared" si="0"/>
        <v>21</v>
      </c>
      <c r="G6" s="15">
        <v>8</v>
      </c>
      <c r="H6" s="14">
        <f t="shared" si="1"/>
        <v>0.38095238095238093</v>
      </c>
    </row>
    <row r="7" spans="1:8" s="15" customFormat="1" x14ac:dyDescent="0.25">
      <c r="A7" s="15" t="s">
        <v>17</v>
      </c>
      <c r="B7" s="15" t="s">
        <v>6</v>
      </c>
      <c r="C7" s="15" t="s">
        <v>3</v>
      </c>
      <c r="D7" s="16">
        <v>45757</v>
      </c>
      <c r="E7" s="16">
        <f>D7+21</f>
        <v>45778</v>
      </c>
      <c r="F7" s="12">
        <f t="shared" si="0"/>
        <v>21</v>
      </c>
      <c r="G7" s="15">
        <v>12</v>
      </c>
      <c r="H7" s="14">
        <f t="shared" si="1"/>
        <v>0.5714285714285714</v>
      </c>
    </row>
    <row r="8" spans="1:8" s="17" customFormat="1" x14ac:dyDescent="0.25">
      <c r="A8" s="17" t="s">
        <v>18</v>
      </c>
      <c r="B8" s="17" t="s">
        <v>4</v>
      </c>
      <c r="C8" s="17" t="s">
        <v>1</v>
      </c>
      <c r="D8" s="18">
        <v>45737</v>
      </c>
      <c r="E8" s="18">
        <v>45759</v>
      </c>
      <c r="F8" s="17">
        <f>(E8-D8)</f>
        <v>22</v>
      </c>
      <c r="G8" s="17">
        <v>16</v>
      </c>
      <c r="H8" s="22">
        <f t="shared" si="1"/>
        <v>0.72727272727272729</v>
      </c>
    </row>
    <row r="9" spans="1:8" s="17" customFormat="1" x14ac:dyDescent="0.25">
      <c r="A9" s="17" t="s">
        <v>18</v>
      </c>
      <c r="B9" s="17" t="s">
        <v>5</v>
      </c>
      <c r="C9" s="17" t="s">
        <v>2</v>
      </c>
      <c r="D9" s="18">
        <v>45737</v>
      </c>
      <c r="E9" s="18">
        <v>45759</v>
      </c>
      <c r="F9" s="17">
        <f t="shared" ref="F9:F10" si="2">(E9-D9)</f>
        <v>22</v>
      </c>
      <c r="G9" s="17">
        <v>16</v>
      </c>
      <c r="H9" s="22">
        <f t="shared" si="1"/>
        <v>0.72727272727272729</v>
      </c>
    </row>
    <row r="10" spans="1:8" s="17" customFormat="1" x14ac:dyDescent="0.25">
      <c r="A10" s="17" t="s">
        <v>18</v>
      </c>
      <c r="B10" s="17" t="s">
        <v>19</v>
      </c>
      <c r="C10" s="17" t="s">
        <v>20</v>
      </c>
      <c r="D10" s="18"/>
      <c r="E10" s="18"/>
      <c r="F10" s="17">
        <f t="shared" si="2"/>
        <v>0</v>
      </c>
      <c r="G10" s="17">
        <v>12</v>
      </c>
      <c r="H10" s="22" t="e">
        <f t="shared" si="1"/>
        <v>#DIV/0!</v>
      </c>
    </row>
    <row r="11" spans="1:8" s="15" customFormat="1" x14ac:dyDescent="0.25">
      <c r="A11" s="39" t="s">
        <v>17</v>
      </c>
      <c r="B11" s="15" t="s">
        <v>9</v>
      </c>
      <c r="C11" s="15" t="s">
        <v>10</v>
      </c>
      <c r="D11" s="16">
        <v>45807</v>
      </c>
      <c r="E11" s="16">
        <f ca="1">TODAY()</f>
        <v>46036</v>
      </c>
      <c r="F11" s="15">
        <f t="shared" ref="F11:F18" ca="1" si="3">E11-D11</f>
        <v>229</v>
      </c>
      <c r="H11" s="14">
        <f t="shared" ca="1" si="1"/>
        <v>0</v>
      </c>
    </row>
    <row r="12" spans="1:8" s="15" customFormat="1" x14ac:dyDescent="0.25">
      <c r="A12" s="15" t="s">
        <v>17</v>
      </c>
      <c r="B12" s="15" t="s">
        <v>19</v>
      </c>
      <c r="C12" s="15" t="s">
        <v>20</v>
      </c>
      <c r="D12" s="16">
        <v>45809</v>
      </c>
      <c r="E12" s="16">
        <v>45830</v>
      </c>
      <c r="F12" s="12">
        <f t="shared" si="3"/>
        <v>21</v>
      </c>
      <c r="H12" s="14">
        <f t="shared" si="1"/>
        <v>0</v>
      </c>
    </row>
    <row r="13" spans="1:8" s="15" customFormat="1" x14ac:dyDescent="0.25">
      <c r="A13" s="15" t="s">
        <v>17</v>
      </c>
      <c r="B13" s="15" t="s">
        <v>6</v>
      </c>
      <c r="C13" s="15" t="s">
        <v>3</v>
      </c>
      <c r="D13" s="16">
        <v>45811</v>
      </c>
      <c r="E13" s="16">
        <v>45832</v>
      </c>
      <c r="F13" s="12">
        <f t="shared" si="3"/>
        <v>21</v>
      </c>
      <c r="G13" s="15">
        <v>14</v>
      </c>
      <c r="H13" s="14">
        <f t="shared" si="1"/>
        <v>0.66666666666666663</v>
      </c>
    </row>
    <row r="14" spans="1:8" s="15" customFormat="1" x14ac:dyDescent="0.25">
      <c r="A14" s="15" t="s">
        <v>17</v>
      </c>
      <c r="B14" s="15" t="s">
        <v>7</v>
      </c>
      <c r="C14" s="15" t="s">
        <v>8</v>
      </c>
      <c r="D14" s="16">
        <v>45813</v>
      </c>
      <c r="E14" s="16">
        <v>45834</v>
      </c>
      <c r="F14" s="12">
        <f t="shared" si="3"/>
        <v>21</v>
      </c>
      <c r="G14" s="15">
        <v>14</v>
      </c>
      <c r="H14" s="14">
        <f t="shared" si="1"/>
        <v>0.66666666666666663</v>
      </c>
    </row>
    <row r="15" spans="1:8" s="17" customFormat="1" x14ac:dyDescent="0.25">
      <c r="A15" s="17" t="s">
        <v>18</v>
      </c>
      <c r="B15" s="17" t="s">
        <v>9</v>
      </c>
      <c r="C15" s="17" t="s">
        <v>10</v>
      </c>
      <c r="D15" s="18">
        <v>45807</v>
      </c>
      <c r="E15" s="18">
        <f ca="1">TODAY()</f>
        <v>46036</v>
      </c>
      <c r="F15" s="17">
        <f t="shared" ca="1" si="3"/>
        <v>229</v>
      </c>
      <c r="G15" s="17">
        <v>14</v>
      </c>
      <c r="H15" s="22">
        <f t="shared" ca="1" si="1"/>
        <v>6.1135371179039298E-2</v>
      </c>
    </row>
    <row r="16" spans="1:8" s="17" customFormat="1" x14ac:dyDescent="0.25">
      <c r="A16" s="17" t="s">
        <v>18</v>
      </c>
      <c r="B16" s="17" t="s">
        <v>19</v>
      </c>
      <c r="C16" s="17" t="s">
        <v>20</v>
      </c>
      <c r="D16" s="18">
        <v>45809</v>
      </c>
      <c r="E16" s="18">
        <v>45830</v>
      </c>
      <c r="F16" s="17">
        <v>5</v>
      </c>
      <c r="G16" s="17">
        <v>5</v>
      </c>
      <c r="H16" s="22">
        <f t="shared" si="1"/>
        <v>1</v>
      </c>
    </row>
    <row r="17" spans="1:10" s="17" customFormat="1" x14ac:dyDescent="0.25">
      <c r="A17" s="17" t="s">
        <v>18</v>
      </c>
      <c r="B17" s="17" t="s">
        <v>6</v>
      </c>
      <c r="C17" s="17" t="s">
        <v>3</v>
      </c>
      <c r="D17" s="18">
        <v>45811</v>
      </c>
      <c r="E17" s="18">
        <v>45834</v>
      </c>
      <c r="F17" s="17">
        <v>5</v>
      </c>
      <c r="G17" s="17">
        <v>5</v>
      </c>
      <c r="H17" s="22">
        <f t="shared" si="1"/>
        <v>1</v>
      </c>
    </row>
    <row r="18" spans="1:10" s="15" customFormat="1" x14ac:dyDescent="0.25">
      <c r="A18" s="15" t="s">
        <v>17</v>
      </c>
      <c r="B18" s="15" t="s">
        <v>5</v>
      </c>
      <c r="C18" s="15" t="s">
        <v>2</v>
      </c>
      <c r="D18" s="16">
        <v>45851</v>
      </c>
      <c r="E18" s="16">
        <v>45872</v>
      </c>
      <c r="F18" s="12">
        <f t="shared" si="3"/>
        <v>21</v>
      </c>
      <c r="G18" s="15">
        <v>13</v>
      </c>
      <c r="H18" s="14">
        <f t="shared" si="1"/>
        <v>0.61904761904761907</v>
      </c>
    </row>
    <row r="19" spans="1:10" s="15" customFormat="1" x14ac:dyDescent="0.25">
      <c r="A19" s="15" t="s">
        <v>17</v>
      </c>
      <c r="B19" s="15" t="s">
        <v>4</v>
      </c>
      <c r="C19" s="15" t="s">
        <v>1</v>
      </c>
      <c r="D19" s="16">
        <v>45878</v>
      </c>
      <c r="E19" s="16">
        <f ca="1">TODAY()</f>
        <v>46036</v>
      </c>
      <c r="F19" s="12">
        <f t="shared" ref="F19:F20" ca="1" si="4">E19-D19</f>
        <v>158</v>
      </c>
      <c r="G19" s="15">
        <v>15</v>
      </c>
      <c r="H19" s="14">
        <f ca="1">G19/F19</f>
        <v>9.49367088607595E-2</v>
      </c>
      <c r="J19" s="15" t="s">
        <v>30</v>
      </c>
    </row>
    <row r="20" spans="1:10" s="24" customFormat="1" x14ac:dyDescent="0.25">
      <c r="A20" s="24" t="s">
        <v>17</v>
      </c>
      <c r="B20" s="24" t="s">
        <v>9</v>
      </c>
      <c r="C20" s="24" t="s">
        <v>10</v>
      </c>
      <c r="D20" s="25">
        <v>45887</v>
      </c>
      <c r="E20" s="25">
        <v>45908</v>
      </c>
      <c r="F20" s="26">
        <f t="shared" si="4"/>
        <v>21</v>
      </c>
      <c r="G20" s="24">
        <v>15</v>
      </c>
      <c r="H20" s="27">
        <f>G20/F20</f>
        <v>0.7142857142857143</v>
      </c>
    </row>
    <row r="21" spans="1:10" s="17" customFormat="1" x14ac:dyDescent="0.25">
      <c r="A21" s="17" t="s">
        <v>18</v>
      </c>
      <c r="B21" s="17" t="s">
        <v>4</v>
      </c>
      <c r="C21" s="17" t="s">
        <v>1</v>
      </c>
      <c r="D21" s="18">
        <v>45878</v>
      </c>
      <c r="E21" s="18">
        <v>45910</v>
      </c>
      <c r="F21" s="17">
        <f t="shared" ref="F21:F22" si="5">E21-D21</f>
        <v>32</v>
      </c>
      <c r="G21" s="17">
        <v>3</v>
      </c>
      <c r="H21" s="22">
        <f>G21/F21</f>
        <v>9.375E-2</v>
      </c>
      <c r="I21" s="17">
        <f ca="1">E21-TODAY()</f>
        <v>-126</v>
      </c>
      <c r="J21" s="23" t="s">
        <v>23</v>
      </c>
    </row>
    <row r="22" spans="1:10" s="17" customFormat="1" x14ac:dyDescent="0.25">
      <c r="A22" s="17" t="s">
        <v>18</v>
      </c>
      <c r="B22" s="17" t="s">
        <v>9</v>
      </c>
      <c r="C22" s="17" t="s">
        <v>10</v>
      </c>
      <c r="D22" s="18">
        <v>45887</v>
      </c>
      <c r="E22" s="18">
        <v>45910</v>
      </c>
      <c r="F22" s="17">
        <f t="shared" si="5"/>
        <v>23</v>
      </c>
      <c r="G22" s="17">
        <v>3</v>
      </c>
      <c r="H22" s="22">
        <f>G22/F22</f>
        <v>0.13043478260869565</v>
      </c>
      <c r="I22" s="17">
        <f ca="1">E22-TODAY()</f>
        <v>-126</v>
      </c>
      <c r="J22" s="23" t="s">
        <v>23</v>
      </c>
    </row>
    <row r="23" spans="1:10" s="17" customFormat="1" x14ac:dyDescent="0.25">
      <c r="A23" s="17" t="s">
        <v>18</v>
      </c>
      <c r="B23" s="17" t="s">
        <v>6</v>
      </c>
      <c r="C23" s="17" t="s">
        <v>3</v>
      </c>
      <c r="D23" s="18">
        <v>45834</v>
      </c>
      <c r="E23" s="18">
        <v>45904</v>
      </c>
      <c r="F23" s="17">
        <v>5</v>
      </c>
      <c r="G23" s="17">
        <v>5</v>
      </c>
      <c r="H23" s="22">
        <f t="shared" ref="H23" si="6">G23/F23</f>
        <v>1</v>
      </c>
      <c r="I23" s="17">
        <f>E23-D23</f>
        <v>70</v>
      </c>
      <c r="J23" s="23" t="s">
        <v>23</v>
      </c>
    </row>
    <row r="24" spans="1:10" s="19" customFormat="1" x14ac:dyDescent="0.25">
      <c r="A24" s="19" t="s">
        <v>22</v>
      </c>
      <c r="B24" s="19" t="s">
        <v>6</v>
      </c>
      <c r="C24" s="19" t="s">
        <v>3</v>
      </c>
      <c r="D24" s="20">
        <v>45904</v>
      </c>
      <c r="E24" s="20">
        <f ca="1">TODAY()</f>
        <v>46036</v>
      </c>
      <c r="F24" s="19">
        <f ca="1">E24-D24</f>
        <v>132</v>
      </c>
      <c r="G24" s="19">
        <v>3</v>
      </c>
      <c r="H24" s="14">
        <f ca="1">G24/F24</f>
        <v>2.2727272727272728E-2</v>
      </c>
      <c r="J24" s="19" t="s">
        <v>29</v>
      </c>
    </row>
    <row r="25" spans="1:10" s="19" customFormat="1" x14ac:dyDescent="0.25">
      <c r="A25" s="19" t="s">
        <v>22</v>
      </c>
      <c r="B25" s="19" t="s">
        <v>24</v>
      </c>
      <c r="C25" s="19" t="s">
        <v>25</v>
      </c>
      <c r="D25" s="20">
        <v>45904</v>
      </c>
      <c r="E25" s="20">
        <f ca="1">TODAY()</f>
        <v>46036</v>
      </c>
      <c r="F25" s="19">
        <v>6</v>
      </c>
      <c r="G25" s="19">
        <v>3</v>
      </c>
      <c r="H25" s="14">
        <f t="shared" ref="H25:H26" si="7">G25/F25</f>
        <v>0.5</v>
      </c>
      <c r="J25" s="19" t="s">
        <v>26</v>
      </c>
    </row>
    <row r="26" spans="1:10" s="19" customFormat="1" x14ac:dyDescent="0.25">
      <c r="A26" s="19" t="s">
        <v>22</v>
      </c>
      <c r="B26" s="19" t="s">
        <v>57</v>
      </c>
      <c r="C26" s="19" t="s">
        <v>56</v>
      </c>
      <c r="D26" s="20">
        <v>45904</v>
      </c>
      <c r="E26" s="20">
        <f ca="1">TODAY()</f>
        <v>46036</v>
      </c>
      <c r="F26" s="19">
        <f ca="1">E26-D26</f>
        <v>132</v>
      </c>
      <c r="G26" s="19">
        <v>3</v>
      </c>
      <c r="H26" s="14">
        <f t="shared" ca="1" si="7"/>
        <v>2.2727272727272728E-2</v>
      </c>
      <c r="J26" s="19" t="s">
        <v>29</v>
      </c>
    </row>
    <row r="27" spans="1:10" s="19" customFormat="1" x14ac:dyDescent="0.25">
      <c r="A27" s="19" t="s">
        <v>22</v>
      </c>
      <c r="B27" s="19" t="s">
        <v>28</v>
      </c>
      <c r="C27" s="19" t="s">
        <v>27</v>
      </c>
      <c r="D27" s="20">
        <v>45904</v>
      </c>
      <c r="E27" s="20">
        <f ca="1">TODAY()</f>
        <v>46036</v>
      </c>
      <c r="F27" s="19">
        <f ca="1">E27-D27</f>
        <v>132</v>
      </c>
      <c r="G27" s="19">
        <v>3</v>
      </c>
      <c r="H27" s="14">
        <f t="shared" ref="H27" ca="1" si="8">G27/F27</f>
        <v>2.2727272727272728E-2</v>
      </c>
      <c r="J27" s="19" t="s">
        <v>34</v>
      </c>
    </row>
    <row r="28" spans="1:10" s="28" customFormat="1" x14ac:dyDescent="0.25">
      <c r="A28" s="28" t="s">
        <v>32</v>
      </c>
      <c r="B28" s="28" t="s">
        <v>31</v>
      </c>
      <c r="C28" s="28" t="s">
        <v>42</v>
      </c>
      <c r="H28" s="29" t="e">
        <f t="shared" si="1"/>
        <v>#DIV/0!</v>
      </c>
      <c r="J28" s="28" t="s">
        <v>45</v>
      </c>
    </row>
    <row r="29" spans="1:10" s="17" customFormat="1" x14ac:dyDescent="0.25">
      <c r="A29" s="17" t="s">
        <v>18</v>
      </c>
      <c r="B29" s="17" t="s">
        <v>7</v>
      </c>
      <c r="C29" s="17" t="s">
        <v>8</v>
      </c>
      <c r="D29" s="18">
        <v>45813</v>
      </c>
      <c r="E29" s="18">
        <v>45835</v>
      </c>
      <c r="F29" s="17">
        <v>5</v>
      </c>
      <c r="G29" s="17">
        <v>5</v>
      </c>
      <c r="H29" s="22">
        <f>G29/F29</f>
        <v>1</v>
      </c>
    </row>
    <row r="30" spans="1:10" s="17" customFormat="1" x14ac:dyDescent="0.25">
      <c r="A30" s="17" t="s">
        <v>18</v>
      </c>
      <c r="B30" s="17" t="s">
        <v>5</v>
      </c>
      <c r="C30" s="17" t="s">
        <v>2</v>
      </c>
      <c r="D30" s="18">
        <v>45851</v>
      </c>
      <c r="E30" s="18">
        <v>45898</v>
      </c>
      <c r="F30" s="17">
        <v>1</v>
      </c>
      <c r="G30" s="17">
        <v>1</v>
      </c>
      <c r="H30" s="22">
        <f>G30/F30</f>
        <v>1</v>
      </c>
      <c r="I30" s="17">
        <f>E30-D30</f>
        <v>47</v>
      </c>
      <c r="J30" s="23" t="s">
        <v>23</v>
      </c>
    </row>
    <row r="31" spans="1:10" s="15" customFormat="1" x14ac:dyDescent="0.25">
      <c r="A31" s="15" t="s">
        <v>17</v>
      </c>
      <c r="B31" s="15" t="s">
        <v>6</v>
      </c>
      <c r="C31" s="15" t="s">
        <v>3</v>
      </c>
      <c r="D31" s="16">
        <v>45924</v>
      </c>
      <c r="E31" s="16">
        <v>45947</v>
      </c>
      <c r="F31" s="15">
        <f>E31-D31</f>
        <v>23</v>
      </c>
      <c r="G31" s="15">
        <v>13</v>
      </c>
      <c r="H31" s="33">
        <f>I31/G31</f>
        <v>0.30769230769230771</v>
      </c>
      <c r="I31" s="15">
        <v>4</v>
      </c>
      <c r="J31" s="15" t="s">
        <v>29</v>
      </c>
    </row>
    <row r="32" spans="1:10" s="15" customFormat="1" x14ac:dyDescent="0.25">
      <c r="A32" s="15" t="s">
        <v>17</v>
      </c>
      <c r="B32" s="15" t="s">
        <v>57</v>
      </c>
      <c r="C32" s="15" t="s">
        <v>56</v>
      </c>
      <c r="D32" s="16">
        <v>45930</v>
      </c>
      <c r="E32" s="16">
        <v>45953</v>
      </c>
      <c r="F32" s="15">
        <f>E32-D32</f>
        <v>23</v>
      </c>
      <c r="G32" s="15">
        <v>8</v>
      </c>
      <c r="H32" s="33">
        <f>I32/G32</f>
        <v>0.125</v>
      </c>
      <c r="I32" s="15">
        <v>1</v>
      </c>
      <c r="J32" s="15" t="s">
        <v>34</v>
      </c>
    </row>
    <row r="33" spans="1:10" s="43" customFormat="1" ht="15.75" thickBot="1" x14ac:dyDescent="0.3">
      <c r="A33" s="43" t="s">
        <v>17</v>
      </c>
      <c r="B33" s="43" t="s">
        <v>7</v>
      </c>
      <c r="C33" s="43" t="s">
        <v>8</v>
      </c>
      <c r="D33" s="44">
        <v>45934</v>
      </c>
      <c r="E33" s="44">
        <v>45956</v>
      </c>
      <c r="F33" s="43">
        <f>E33-D33</f>
        <v>22</v>
      </c>
      <c r="G33" s="43">
        <v>12</v>
      </c>
      <c r="H33" s="45">
        <f>I33/G33</f>
        <v>0.66666666666666663</v>
      </c>
      <c r="I33" s="43">
        <v>8</v>
      </c>
      <c r="J33" s="43" t="s">
        <v>29</v>
      </c>
    </row>
    <row r="34" spans="1:10" s="5" customFormat="1" x14ac:dyDescent="0.25">
      <c r="A34" s="5" t="s">
        <v>36</v>
      </c>
      <c r="B34" s="21" t="s">
        <v>37</v>
      </c>
      <c r="C34" s="5" t="s">
        <v>38</v>
      </c>
      <c r="D34" s="34">
        <v>45935</v>
      </c>
      <c r="F34" s="5">
        <v>3.7</v>
      </c>
      <c r="G34" s="5" t="s">
        <v>39</v>
      </c>
      <c r="H34" s="14" t="e">
        <f t="shared" si="1"/>
        <v>#VALUE!</v>
      </c>
      <c r="I34" s="5">
        <v>1</v>
      </c>
      <c r="J34" s="5" t="s">
        <v>40</v>
      </c>
    </row>
    <row r="35" spans="1:10" s="19" customFormat="1" x14ac:dyDescent="0.25">
      <c r="A35" s="19" t="s">
        <v>22</v>
      </c>
      <c r="B35" s="19" t="s">
        <v>9</v>
      </c>
      <c r="C35" s="19" t="s">
        <v>10</v>
      </c>
      <c r="D35" s="20">
        <v>45943</v>
      </c>
      <c r="E35" s="20"/>
      <c r="H35" s="14"/>
      <c r="I35" s="19">
        <v>1</v>
      </c>
      <c r="J35" s="19" t="s">
        <v>29</v>
      </c>
    </row>
    <row r="36" spans="1:10" s="28" customFormat="1" x14ac:dyDescent="0.25">
      <c r="A36" s="28" t="s">
        <v>32</v>
      </c>
      <c r="B36" s="28" t="s">
        <v>43</v>
      </c>
      <c r="C36" s="28" t="s">
        <v>44</v>
      </c>
      <c r="H36" s="29"/>
      <c r="I36" s="28">
        <v>1</v>
      </c>
      <c r="J36" s="28" t="s">
        <v>45</v>
      </c>
    </row>
    <row r="37" spans="1:10" s="28" customFormat="1" x14ac:dyDescent="0.25">
      <c r="A37" s="28" t="s">
        <v>32</v>
      </c>
      <c r="B37" s="28" t="s">
        <v>46</v>
      </c>
      <c r="C37" s="28" t="s">
        <v>47</v>
      </c>
      <c r="H37" s="29"/>
      <c r="I37" s="28">
        <v>1</v>
      </c>
      <c r="J37" s="28" t="s">
        <v>45</v>
      </c>
    </row>
    <row r="38" spans="1:10" s="28" customFormat="1" x14ac:dyDescent="0.25">
      <c r="A38" s="28" t="s">
        <v>32</v>
      </c>
      <c r="B38" s="28" t="s">
        <v>48</v>
      </c>
      <c r="C38" s="28" t="s">
        <v>49</v>
      </c>
      <c r="H38" s="29"/>
      <c r="I38" s="28">
        <v>1</v>
      </c>
      <c r="J38" s="28" t="s">
        <v>45</v>
      </c>
    </row>
    <row r="39" spans="1:10" s="28" customFormat="1" x14ac:dyDescent="0.25">
      <c r="A39" s="28" t="s">
        <v>32</v>
      </c>
      <c r="B39" s="28" t="s">
        <v>50</v>
      </c>
      <c r="C39" s="28" t="s">
        <v>52</v>
      </c>
      <c r="H39" s="29"/>
      <c r="I39" s="28">
        <v>1</v>
      </c>
      <c r="J39" s="28" t="s">
        <v>45</v>
      </c>
    </row>
    <row r="40" spans="1:10" s="28" customFormat="1" x14ac:dyDescent="0.25">
      <c r="A40" s="28" t="s">
        <v>32</v>
      </c>
      <c r="B40" s="28" t="s">
        <v>51</v>
      </c>
      <c r="C40" s="28" t="s">
        <v>53</v>
      </c>
      <c r="H40" s="29"/>
      <c r="I40" s="28">
        <v>1</v>
      </c>
      <c r="J40" s="28" t="s">
        <v>45</v>
      </c>
    </row>
    <row r="41" spans="1:10" s="28" customFormat="1" x14ac:dyDescent="0.25">
      <c r="A41" s="28" t="s">
        <v>32</v>
      </c>
      <c r="B41" s="28" t="s">
        <v>55</v>
      </c>
      <c r="C41" s="28" t="s">
        <v>33</v>
      </c>
      <c r="D41" s="37">
        <f ca="1">TODAY()</f>
        <v>46036</v>
      </c>
      <c r="E41" s="37">
        <v>45910</v>
      </c>
      <c r="F41" s="28">
        <f ca="1">D41-E41</f>
        <v>126</v>
      </c>
      <c r="G41" s="38" t="s">
        <v>54</v>
      </c>
      <c r="H41" s="29"/>
      <c r="I41" s="28">
        <v>5</v>
      </c>
      <c r="J41" s="28" t="s">
        <v>45</v>
      </c>
    </row>
    <row r="42" spans="1:10" s="17" customFormat="1" x14ac:dyDescent="0.25">
      <c r="A42" s="17" t="s">
        <v>18</v>
      </c>
      <c r="B42" s="17" t="s">
        <v>6</v>
      </c>
      <c r="C42" s="17" t="s">
        <v>3</v>
      </c>
      <c r="D42" s="18">
        <f ca="1">TODAY()</f>
        <v>46036</v>
      </c>
      <c r="E42" s="18">
        <v>45947</v>
      </c>
      <c r="F42" s="17">
        <f ca="1">D42-E42</f>
        <v>89</v>
      </c>
      <c r="G42" s="23" t="s">
        <v>54</v>
      </c>
      <c r="H42" s="29"/>
      <c r="I42" s="17">
        <v>4</v>
      </c>
      <c r="J42" s="17" t="s">
        <v>29</v>
      </c>
    </row>
    <row r="43" spans="1:10" s="17" customFormat="1" x14ac:dyDescent="0.25">
      <c r="A43" s="17" t="s">
        <v>18</v>
      </c>
      <c r="B43" s="17" t="s">
        <v>57</v>
      </c>
      <c r="C43" s="17" t="s">
        <v>56</v>
      </c>
      <c r="D43" s="18">
        <f ca="1">TODAY()</f>
        <v>46036</v>
      </c>
      <c r="E43" s="18">
        <v>45953</v>
      </c>
      <c r="F43" s="17">
        <f t="shared" ref="F43:F44" ca="1" si="9">D43-E43</f>
        <v>83</v>
      </c>
      <c r="G43" s="23" t="s">
        <v>54</v>
      </c>
      <c r="H43" s="29"/>
      <c r="I43" s="17">
        <v>8</v>
      </c>
      <c r="J43" s="17" t="s">
        <v>34</v>
      </c>
    </row>
    <row r="44" spans="1:10" s="17" customFormat="1" x14ac:dyDescent="0.25">
      <c r="A44" s="17" t="s">
        <v>18</v>
      </c>
      <c r="B44" s="17" t="s">
        <v>7</v>
      </c>
      <c r="C44" s="17" t="s">
        <v>8</v>
      </c>
      <c r="D44" s="18">
        <f ca="1">TODAY()</f>
        <v>46036</v>
      </c>
      <c r="E44" s="18">
        <v>45956</v>
      </c>
      <c r="F44" s="17">
        <f t="shared" ca="1" si="9"/>
        <v>80</v>
      </c>
      <c r="G44" s="23" t="s">
        <v>54</v>
      </c>
      <c r="H44" s="29"/>
      <c r="I44" s="17">
        <v>8</v>
      </c>
      <c r="J44" s="17" t="s">
        <v>29</v>
      </c>
    </row>
    <row r="45" spans="1:10" s="15" customFormat="1" x14ac:dyDescent="0.25">
      <c r="A45" s="15" t="s">
        <v>17</v>
      </c>
      <c r="B45" s="15" t="s">
        <v>9</v>
      </c>
      <c r="C45" s="15" t="s">
        <v>10</v>
      </c>
      <c r="D45" s="16">
        <v>45955</v>
      </c>
      <c r="E45" s="16">
        <v>45976</v>
      </c>
      <c r="F45" s="15">
        <f>E45-D45</f>
        <v>21</v>
      </c>
      <c r="G45" s="15">
        <v>10</v>
      </c>
      <c r="H45" s="33">
        <f>I45/G45</f>
        <v>0</v>
      </c>
      <c r="J45" s="15" t="s">
        <v>29</v>
      </c>
    </row>
    <row r="46" spans="1:10" s="19" customFormat="1" x14ac:dyDescent="0.25">
      <c r="A46" s="19" t="s">
        <v>22</v>
      </c>
      <c r="B46" s="19" t="s">
        <v>24</v>
      </c>
      <c r="C46" s="19" t="s">
        <v>25</v>
      </c>
      <c r="D46" s="20">
        <v>45809</v>
      </c>
      <c r="E46" s="20">
        <f ca="1">TODAY()</f>
        <v>46036</v>
      </c>
      <c r="F46" s="19">
        <f ca="1">E46-D46</f>
        <v>227</v>
      </c>
      <c r="G46" s="19" t="s">
        <v>71</v>
      </c>
      <c r="H46" s="55">
        <f ca="1">F46*2</f>
        <v>454</v>
      </c>
      <c r="I46" s="19">
        <v>1</v>
      </c>
      <c r="J46" s="19" t="s">
        <v>26</v>
      </c>
    </row>
    <row r="47" spans="1:10" s="19" customFormat="1" x14ac:dyDescent="0.25">
      <c r="A47" s="19" t="s">
        <v>22</v>
      </c>
      <c r="B47" s="19" t="s">
        <v>31</v>
      </c>
      <c r="C47" s="19" t="s">
        <v>42</v>
      </c>
      <c r="D47" s="20">
        <v>45943</v>
      </c>
      <c r="E47" s="20">
        <f t="shared" ref="E47:E48" ca="1" si="10">TODAY()</f>
        <v>46036</v>
      </c>
      <c r="F47" s="19">
        <f t="shared" ref="F47:F48" ca="1" si="11">E47-D47</f>
        <v>93</v>
      </c>
      <c r="G47" s="19" t="s">
        <v>71</v>
      </c>
      <c r="H47" s="55">
        <f t="shared" ref="H47:H48" ca="1" si="12">F47*2</f>
        <v>186</v>
      </c>
      <c r="I47" s="19">
        <v>1</v>
      </c>
      <c r="J47" s="19" t="s">
        <v>34</v>
      </c>
    </row>
    <row r="48" spans="1:10" s="19" customFormat="1" x14ac:dyDescent="0.25">
      <c r="A48" s="19" t="s">
        <v>22</v>
      </c>
      <c r="B48" s="19" t="s">
        <v>5</v>
      </c>
      <c r="C48" s="19" t="s">
        <v>2</v>
      </c>
      <c r="D48" s="20">
        <v>45961</v>
      </c>
      <c r="E48" s="20">
        <f t="shared" ca="1" si="10"/>
        <v>46036</v>
      </c>
      <c r="F48" s="19">
        <f t="shared" ca="1" si="11"/>
        <v>75</v>
      </c>
      <c r="G48" s="19" t="s">
        <v>71</v>
      </c>
      <c r="H48" s="55">
        <f t="shared" ca="1" si="12"/>
        <v>150</v>
      </c>
      <c r="I48" s="19">
        <v>1</v>
      </c>
      <c r="J48" s="19" t="s">
        <v>29</v>
      </c>
    </row>
    <row r="49" spans="1:10" s="19" customFormat="1" x14ac:dyDescent="0.25">
      <c r="A49" s="19" t="s">
        <v>22</v>
      </c>
      <c r="B49" s="19" t="s">
        <v>9</v>
      </c>
      <c r="C49" s="19" t="s">
        <v>10</v>
      </c>
      <c r="D49" s="20"/>
      <c r="E49" s="20"/>
      <c r="H49" s="55"/>
      <c r="J49" s="19" t="s">
        <v>29</v>
      </c>
    </row>
    <row r="50" spans="1:10" s="15" customFormat="1" x14ac:dyDescent="0.25">
      <c r="A50" s="15" t="s">
        <v>17</v>
      </c>
      <c r="B50" s="15" t="s">
        <v>6</v>
      </c>
      <c r="C50" s="15" t="s">
        <v>3</v>
      </c>
      <c r="D50" s="16">
        <v>46005</v>
      </c>
      <c r="E50" s="16">
        <v>46027</v>
      </c>
      <c r="F50" s="15">
        <f>E50-D50</f>
        <v>22</v>
      </c>
      <c r="G50" s="15">
        <v>10</v>
      </c>
      <c r="H50" s="33">
        <f>I50/G50</f>
        <v>0.7</v>
      </c>
      <c r="I50" s="15">
        <v>7</v>
      </c>
      <c r="J50" s="15" t="s">
        <v>29</v>
      </c>
    </row>
    <row r="51" spans="1:10" s="17" customFormat="1" x14ac:dyDescent="0.25">
      <c r="A51" s="17" t="s">
        <v>18</v>
      </c>
      <c r="B51" s="17" t="s">
        <v>6</v>
      </c>
      <c r="C51" s="17" t="s">
        <v>3</v>
      </c>
      <c r="D51" s="18">
        <f ca="1">TODAY()</f>
        <v>46036</v>
      </c>
      <c r="E51" s="18">
        <v>46027</v>
      </c>
      <c r="F51" s="17">
        <f ca="1">D51-E51</f>
        <v>9</v>
      </c>
      <c r="G51" s="23" t="s">
        <v>54</v>
      </c>
      <c r="H51" s="29"/>
      <c r="I51" s="17">
        <v>4</v>
      </c>
      <c r="J51" s="17" t="s">
        <v>29</v>
      </c>
    </row>
    <row r="52" spans="1:10" s="35" customFormat="1" x14ac:dyDescent="0.25">
      <c r="B52" s="36"/>
      <c r="H52" s="27"/>
    </row>
    <row r="53" spans="1:10" s="30" customFormat="1" x14ac:dyDescent="0.25">
      <c r="A53" s="30" t="s">
        <v>35</v>
      </c>
      <c r="B53" s="30" t="s">
        <v>28</v>
      </c>
      <c r="C53" s="30" t="s">
        <v>27</v>
      </c>
      <c r="D53" s="31">
        <v>45925</v>
      </c>
      <c r="E53" s="31"/>
      <c r="H53" s="32"/>
      <c r="J53" s="30" t="s">
        <v>34</v>
      </c>
    </row>
    <row r="54" spans="1:10" s="30" customFormat="1" x14ac:dyDescent="0.25">
      <c r="A54" s="30" t="s">
        <v>41</v>
      </c>
      <c r="B54" s="30" t="s">
        <v>4</v>
      </c>
      <c r="C54" s="30" t="s">
        <v>1</v>
      </c>
      <c r="D54" s="31">
        <v>45941</v>
      </c>
      <c r="E54" s="31"/>
      <c r="H54" s="32"/>
      <c r="J54" s="30" t="s">
        <v>30</v>
      </c>
    </row>
    <row r="55" spans="1:10" s="30" customFormat="1" x14ac:dyDescent="0.25">
      <c r="A55" s="30" t="s">
        <v>79</v>
      </c>
      <c r="B55" s="30" t="s">
        <v>31</v>
      </c>
      <c r="C55" s="30" t="s">
        <v>42</v>
      </c>
      <c r="D55" s="31" t="s">
        <v>78</v>
      </c>
      <c r="E55" s="31">
        <v>45996</v>
      </c>
      <c r="H55" s="32"/>
    </row>
    <row r="56" spans="1:10" s="30" customFormat="1" x14ac:dyDescent="0.25">
      <c r="A56" s="30" t="s">
        <v>35</v>
      </c>
      <c r="B56" s="30" t="s">
        <v>57</v>
      </c>
      <c r="C56" s="30" t="s">
        <v>56</v>
      </c>
      <c r="D56" s="31" t="s">
        <v>34</v>
      </c>
      <c r="E56" s="31">
        <v>45997</v>
      </c>
      <c r="H56" s="32"/>
    </row>
    <row r="57" spans="1:10" s="30" customFormat="1" x14ac:dyDescent="0.25">
      <c r="A57" s="30" t="s">
        <v>79</v>
      </c>
      <c r="B57" s="30" t="s">
        <v>24</v>
      </c>
      <c r="C57" s="30" t="s">
        <v>25</v>
      </c>
      <c r="D57" s="31">
        <v>45997</v>
      </c>
      <c r="E57" s="31"/>
      <c r="H57" s="32"/>
      <c r="J57" s="30" t="s">
        <v>26</v>
      </c>
    </row>
    <row r="58" spans="1:10" s="30" customFormat="1" x14ac:dyDescent="0.25">
      <c r="A58" s="30" t="s">
        <v>79</v>
      </c>
      <c r="B58" s="30" t="s">
        <v>31</v>
      </c>
      <c r="C58" s="30" t="s">
        <v>42</v>
      </c>
      <c r="D58" s="31">
        <v>45994</v>
      </c>
      <c r="E58" s="31"/>
      <c r="H58" s="32"/>
      <c r="J58" s="30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995D-FE85-4EC0-91CA-7B21E8F79AC2}">
  <dimension ref="A1:I9"/>
  <sheetViews>
    <sheetView tabSelected="1" workbookViewId="0">
      <pane ySplit="2" topLeftCell="A3" activePane="bottomLeft" state="frozen"/>
      <selection pane="bottomLeft" activeCell="I8" sqref="I8"/>
    </sheetView>
  </sheetViews>
  <sheetFormatPr defaultColWidth="10.7109375" defaultRowHeight="15" x14ac:dyDescent="0.25"/>
  <cols>
    <col min="1" max="2" width="10.7109375" style="47"/>
    <col min="3" max="3" width="17.42578125" style="47" customWidth="1"/>
    <col min="4" max="4" width="10.7109375" style="47"/>
    <col min="5" max="5" width="10.7109375" style="48"/>
    <col min="6" max="6" width="14.7109375" style="48" customWidth="1"/>
    <col min="7" max="7" width="10.7109375" style="47"/>
    <col min="8" max="8" width="12.42578125" style="47" customWidth="1"/>
    <col min="9" max="9" width="13.85546875" style="47" customWidth="1"/>
    <col min="10" max="16384" width="10.7109375" style="47"/>
  </cols>
  <sheetData>
    <row r="1" spans="1:9" s="49" customFormat="1" ht="18.75" x14ac:dyDescent="0.25">
      <c r="B1" s="46" t="s">
        <v>0</v>
      </c>
      <c r="C1" s="46">
        <f ca="1">TODAY()</f>
        <v>46036</v>
      </c>
      <c r="E1" s="46"/>
      <c r="F1" s="46"/>
      <c r="G1" s="49">
        <f>SUM(I:I)</f>
        <v>36</v>
      </c>
      <c r="H1" s="49" t="s">
        <v>68</v>
      </c>
    </row>
    <row r="2" spans="1:9" s="50" customFormat="1" ht="19.5" thickBot="1" x14ac:dyDescent="0.3">
      <c r="A2" s="50" t="s">
        <v>59</v>
      </c>
      <c r="B2" s="51" t="s">
        <v>60</v>
      </c>
      <c r="C2" s="51" t="s">
        <v>67</v>
      </c>
      <c r="D2" s="50" t="s">
        <v>66</v>
      </c>
      <c r="E2" s="51" t="s">
        <v>61</v>
      </c>
      <c r="F2" s="51" t="s">
        <v>62</v>
      </c>
      <c r="G2" s="50" t="s">
        <v>63</v>
      </c>
      <c r="H2" s="50" t="s">
        <v>64</v>
      </c>
      <c r="I2" s="50" t="s">
        <v>65</v>
      </c>
    </row>
    <row r="3" spans="1:9" s="17" customFormat="1" x14ac:dyDescent="0.25">
      <c r="A3" s="17" t="s">
        <v>18</v>
      </c>
      <c r="B3" s="17" t="s">
        <v>6</v>
      </c>
      <c r="C3" s="17" t="s">
        <v>3</v>
      </c>
      <c r="D3" s="17" t="s">
        <v>29</v>
      </c>
      <c r="E3" s="18">
        <f ca="1">TODAY()</f>
        <v>46036</v>
      </c>
      <c r="F3" s="18">
        <v>45947</v>
      </c>
      <c r="G3" s="17">
        <f ca="1">E3-F3</f>
        <v>89</v>
      </c>
      <c r="H3" s="17" t="s">
        <v>54</v>
      </c>
      <c r="I3" s="17">
        <v>4</v>
      </c>
    </row>
    <row r="4" spans="1:9" s="17" customFormat="1" x14ac:dyDescent="0.25">
      <c r="A4" s="17" t="s">
        <v>18</v>
      </c>
      <c r="B4" s="17" t="s">
        <v>57</v>
      </c>
      <c r="C4" s="17" t="s">
        <v>56</v>
      </c>
      <c r="D4" s="17" t="s">
        <v>34</v>
      </c>
      <c r="E4" s="18">
        <f ca="1">TODAY()</f>
        <v>46036</v>
      </c>
      <c r="F4" s="18">
        <v>45953</v>
      </c>
      <c r="G4" s="17">
        <f ca="1">E4-F4</f>
        <v>83</v>
      </c>
      <c r="H4" s="17" t="s">
        <v>54</v>
      </c>
      <c r="I4" s="17">
        <v>8</v>
      </c>
    </row>
    <row r="5" spans="1:9" s="17" customFormat="1" x14ac:dyDescent="0.25">
      <c r="A5" s="17" t="s">
        <v>18</v>
      </c>
      <c r="B5" s="17" t="s">
        <v>7</v>
      </c>
      <c r="C5" s="17" t="s">
        <v>8</v>
      </c>
      <c r="D5" s="17" t="s">
        <v>29</v>
      </c>
      <c r="E5" s="18">
        <f ca="1">TODAY()</f>
        <v>46036</v>
      </c>
      <c r="F5" s="18">
        <v>45956</v>
      </c>
      <c r="G5" s="17">
        <f ca="1">E5-F5</f>
        <v>80</v>
      </c>
      <c r="H5" s="17" t="s">
        <v>54</v>
      </c>
      <c r="I5" s="17">
        <v>8</v>
      </c>
    </row>
    <row r="6" spans="1:9" s="17" customFormat="1" x14ac:dyDescent="0.25">
      <c r="A6" s="17" t="s">
        <v>18</v>
      </c>
      <c r="B6" s="17" t="s">
        <v>6</v>
      </c>
      <c r="C6" s="17" t="s">
        <v>3</v>
      </c>
      <c r="D6" s="17" t="s">
        <v>29</v>
      </c>
      <c r="E6" s="18">
        <f ca="1">TODAY()</f>
        <v>46036</v>
      </c>
      <c r="F6" s="18">
        <v>46027</v>
      </c>
      <c r="G6" s="17">
        <f ca="1">E6-F6</f>
        <v>9</v>
      </c>
      <c r="H6" s="23" t="s">
        <v>54</v>
      </c>
      <c r="I6" s="17">
        <v>7</v>
      </c>
    </row>
    <row r="7" spans="1:9" s="17" customFormat="1" x14ac:dyDescent="0.25">
      <c r="A7" s="17" t="s">
        <v>18</v>
      </c>
      <c r="B7" s="17" t="s">
        <v>9</v>
      </c>
      <c r="C7" s="17" t="s">
        <v>10</v>
      </c>
      <c r="D7" s="17" t="s">
        <v>29</v>
      </c>
      <c r="E7" s="18">
        <f ca="1">TODAY()</f>
        <v>46036</v>
      </c>
      <c r="F7" s="18">
        <v>46036</v>
      </c>
      <c r="G7" s="17">
        <f ca="1">F7-E7</f>
        <v>0</v>
      </c>
      <c r="H7" s="23" t="s">
        <v>54</v>
      </c>
      <c r="I7" s="17">
        <v>9</v>
      </c>
    </row>
    <row r="8" spans="1:9" s="15" customFormat="1" x14ac:dyDescent="0.25">
      <c r="E8" s="16"/>
      <c r="F8" s="16"/>
      <c r="I8" s="33"/>
    </row>
    <row r="9" spans="1:9" s="30" customFormat="1" x14ac:dyDescent="0.25">
      <c r="A9" s="30" t="s">
        <v>35</v>
      </c>
      <c r="B9" s="30" t="s">
        <v>57</v>
      </c>
      <c r="C9" s="30" t="s">
        <v>56</v>
      </c>
      <c r="D9" s="31" t="s">
        <v>34</v>
      </c>
      <c r="E9" s="31">
        <v>45997</v>
      </c>
      <c r="H9" s="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6C99-536E-4F31-8A16-5ECA51AF8689}">
  <dimension ref="A1:J10"/>
  <sheetViews>
    <sheetView topLeftCell="B1" workbookViewId="0">
      <pane ySplit="2" topLeftCell="A3" activePane="bottomLeft" state="frozen"/>
      <selection pane="bottomLeft" activeCell="J9" sqref="J9"/>
    </sheetView>
  </sheetViews>
  <sheetFormatPr defaultRowHeight="15" x14ac:dyDescent="0.25"/>
  <cols>
    <col min="1" max="1" width="13.28515625" style="47" customWidth="1"/>
    <col min="2" max="2" width="9.140625" style="47"/>
    <col min="3" max="3" width="19.42578125" style="47" customWidth="1"/>
    <col min="4" max="4" width="14.28515625" style="47" customWidth="1"/>
    <col min="5" max="5" width="13" style="48" customWidth="1"/>
    <col min="6" max="6" width="16.85546875" style="48" customWidth="1"/>
    <col min="7" max="7" width="13" style="47" customWidth="1"/>
    <col min="8" max="8" width="15.140625" style="47" customWidth="1"/>
    <col min="9" max="9" width="15.28515625" style="47" customWidth="1"/>
    <col min="10" max="10" width="11.7109375" style="47" customWidth="1"/>
    <col min="11" max="16384" width="9.140625" style="47"/>
  </cols>
  <sheetData>
    <row r="1" spans="1:10" s="49" customFormat="1" ht="18.75" x14ac:dyDescent="0.25">
      <c r="B1" s="46" t="s">
        <v>0</v>
      </c>
      <c r="C1" s="46">
        <f ca="1">TODAY()</f>
        <v>46036</v>
      </c>
      <c r="E1" s="46"/>
      <c r="F1" s="46"/>
      <c r="G1" s="52" t="e">
        <f>AVERAGE(I:I)</f>
        <v>#REF!</v>
      </c>
      <c r="H1" s="53" t="s">
        <v>73</v>
      </c>
    </row>
    <row r="2" spans="1:10" s="60" customFormat="1" ht="18.75" x14ac:dyDescent="0.25">
      <c r="A2" s="60" t="s">
        <v>59</v>
      </c>
      <c r="B2" s="61" t="s">
        <v>60</v>
      </c>
      <c r="C2" s="61" t="s">
        <v>67</v>
      </c>
      <c r="D2" s="60" t="s">
        <v>66</v>
      </c>
      <c r="E2" s="61" t="s">
        <v>69</v>
      </c>
      <c r="F2" s="61" t="s">
        <v>62</v>
      </c>
      <c r="G2" s="60" t="s">
        <v>70</v>
      </c>
      <c r="H2" s="60" t="s">
        <v>71</v>
      </c>
      <c r="I2" s="60" t="s">
        <v>72</v>
      </c>
      <c r="J2" s="60" t="s">
        <v>68</v>
      </c>
    </row>
    <row r="3" spans="1:10" s="56" customFormat="1" x14ac:dyDescent="0.25">
      <c r="A3" s="56" t="s">
        <v>17</v>
      </c>
      <c r="B3" s="56" t="s">
        <v>9</v>
      </c>
      <c r="C3" s="56" t="s">
        <v>10</v>
      </c>
      <c r="D3" s="56" t="s">
        <v>29</v>
      </c>
      <c r="E3" s="57">
        <v>45955</v>
      </c>
      <c r="F3" s="57">
        <v>45977</v>
      </c>
      <c r="G3" s="56">
        <f>F3-E3</f>
        <v>22</v>
      </c>
      <c r="H3" s="56">
        <v>10</v>
      </c>
      <c r="I3" s="58">
        <f>J3/H3</f>
        <v>1</v>
      </c>
      <c r="J3" s="56">
        <v>10</v>
      </c>
    </row>
    <row r="4" spans="1:10" s="56" customFormat="1" x14ac:dyDescent="0.25">
      <c r="A4" s="56" t="s">
        <v>17</v>
      </c>
      <c r="B4" s="56" t="s">
        <v>31</v>
      </c>
      <c r="C4" s="56" t="s">
        <v>42</v>
      </c>
      <c r="D4" s="56" t="s">
        <v>78</v>
      </c>
      <c r="E4" s="57">
        <v>45982</v>
      </c>
      <c r="F4" s="57">
        <v>46003</v>
      </c>
      <c r="G4" s="56">
        <f>F4-E4</f>
        <v>21</v>
      </c>
      <c r="H4" s="56">
        <v>10</v>
      </c>
      <c r="I4" s="58">
        <f>J4/H4</f>
        <v>0</v>
      </c>
    </row>
    <row r="7" spans="1:10" s="65" customFormat="1" x14ac:dyDescent="0.25">
      <c r="A7" s="59" t="s">
        <v>17</v>
      </c>
      <c r="B7" s="62" t="s">
        <v>6</v>
      </c>
      <c r="C7" s="62" t="s">
        <v>3</v>
      </c>
      <c r="D7" s="62" t="s">
        <v>29</v>
      </c>
      <c r="E7" s="63">
        <v>46005</v>
      </c>
      <c r="F7" s="63">
        <v>46026</v>
      </c>
      <c r="G7" s="62">
        <f>F7-E7</f>
        <v>21</v>
      </c>
      <c r="H7" s="62">
        <v>10</v>
      </c>
      <c r="I7" s="64" t="e">
        <f>#REF!/H7</f>
        <v>#REF!</v>
      </c>
    </row>
    <row r="8" spans="1:10" s="15" customFormat="1" x14ac:dyDescent="0.25">
      <c r="A8" s="15" t="s">
        <v>17</v>
      </c>
      <c r="B8" s="15" t="s">
        <v>9</v>
      </c>
      <c r="C8" s="15" t="s">
        <v>10</v>
      </c>
      <c r="D8" s="15" t="s">
        <v>29</v>
      </c>
      <c r="E8" s="16">
        <v>46015</v>
      </c>
      <c r="F8" s="16">
        <v>46036</v>
      </c>
      <c r="G8" s="15">
        <f>F8-E8</f>
        <v>21</v>
      </c>
      <c r="H8" s="15">
        <v>10</v>
      </c>
      <c r="I8" s="33">
        <f>J8/H8</f>
        <v>0.9</v>
      </c>
      <c r="J8" s="15">
        <v>9</v>
      </c>
    </row>
    <row r="10" spans="1:10" s="30" customFormat="1" x14ac:dyDescent="0.25">
      <c r="A10" s="30" t="s">
        <v>79</v>
      </c>
      <c r="B10" s="30" t="s">
        <v>31</v>
      </c>
      <c r="C10" s="30" t="s">
        <v>42</v>
      </c>
      <c r="D10" s="31" t="s">
        <v>78</v>
      </c>
      <c r="E10" s="31">
        <v>45996</v>
      </c>
      <c r="F10" s="31"/>
      <c r="I10" s="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CAAB-4C7C-47DD-B348-5E0B06D77598}">
  <dimension ref="A1:J7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3.28515625" style="1" customWidth="1"/>
    <col min="2" max="2" width="9.140625" style="1"/>
    <col min="3" max="3" width="16.42578125" style="1" customWidth="1"/>
    <col min="4" max="4" width="15.7109375" style="1" customWidth="1"/>
    <col min="5" max="5" width="13.28515625" style="1" customWidth="1"/>
    <col min="6" max="6" width="12.5703125" style="1" customWidth="1"/>
    <col min="7" max="7" width="9.140625" style="1"/>
    <col min="8" max="8" width="9.140625" style="1" customWidth="1"/>
    <col min="9" max="9" width="11.42578125" style="1" customWidth="1"/>
    <col min="10" max="16384" width="9.140625" style="1"/>
  </cols>
  <sheetData>
    <row r="1" spans="1:10" x14ac:dyDescent="0.25">
      <c r="A1" s="1" t="s">
        <v>59</v>
      </c>
      <c r="B1" s="1" t="s">
        <v>75</v>
      </c>
      <c r="C1" s="1" t="s">
        <v>67</v>
      </c>
      <c r="D1" s="1" t="s">
        <v>76</v>
      </c>
      <c r="E1" s="1" t="s">
        <v>61</v>
      </c>
      <c r="F1" s="1" t="s">
        <v>65</v>
      </c>
      <c r="G1" s="1" t="s">
        <v>64</v>
      </c>
      <c r="I1" s="1" t="s">
        <v>77</v>
      </c>
      <c r="J1" s="1">
        <f>SUM(I:I)</f>
        <v>2</v>
      </c>
    </row>
    <row r="2" spans="1:10" s="19" customFormat="1" x14ac:dyDescent="0.25">
      <c r="A2" s="19" t="s">
        <v>22</v>
      </c>
      <c r="B2" s="19" t="s">
        <v>24</v>
      </c>
      <c r="C2" s="19" t="s">
        <v>25</v>
      </c>
      <c r="D2" s="20">
        <v>45809</v>
      </c>
      <c r="E2" s="20">
        <f ca="1">TODAY()</f>
        <v>46036</v>
      </c>
      <c r="F2" s="19">
        <f ca="1">E2-D2</f>
        <v>227</v>
      </c>
      <c r="G2" s="19" t="s">
        <v>71</v>
      </c>
      <c r="H2" s="55"/>
      <c r="I2" s="19">
        <v>1</v>
      </c>
      <c r="J2" s="19" t="s">
        <v>26</v>
      </c>
    </row>
    <row r="3" spans="1:10" s="19" customFormat="1" x14ac:dyDescent="0.25">
      <c r="A3" s="19" t="s">
        <v>22</v>
      </c>
      <c r="B3" s="19" t="s">
        <v>5</v>
      </c>
      <c r="C3" s="19" t="s">
        <v>2</v>
      </c>
      <c r="D3" s="20">
        <v>45961</v>
      </c>
      <c r="E3" s="20">
        <f ca="1">TODAY()</f>
        <v>46036</v>
      </c>
      <c r="F3" s="19">
        <f ca="1">E3-D3</f>
        <v>75</v>
      </c>
      <c r="G3" s="19" t="s">
        <v>71</v>
      </c>
      <c r="H3" s="55"/>
      <c r="I3" s="19">
        <v>1</v>
      </c>
      <c r="J3" s="19" t="s">
        <v>29</v>
      </c>
    </row>
    <row r="7" spans="1:10" s="30" customFormat="1" x14ac:dyDescent="0.25">
      <c r="A7" s="30" t="s">
        <v>79</v>
      </c>
      <c r="B7" s="30" t="s">
        <v>24</v>
      </c>
      <c r="C7" s="30" t="s">
        <v>25</v>
      </c>
      <c r="D7" s="31">
        <v>45997</v>
      </c>
      <c r="E7" s="31"/>
      <c r="H7" s="32"/>
      <c r="J7" s="30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galinhas</vt:lpstr>
      <vt:lpstr>criando</vt:lpstr>
      <vt:lpstr>chocando</vt:lpstr>
      <vt:lpstr>botando</vt:lpstr>
      <vt:lpstr>preçoDoOvo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Betinho</dc:creator>
  <cp:lastModifiedBy>Betinho</cp:lastModifiedBy>
  <dcterms:created xsi:type="dcterms:W3CDTF">2025-04-09T11:54:06Z</dcterms:created>
  <dcterms:modified xsi:type="dcterms:W3CDTF">2026-01-14T13:39:42Z</dcterms:modified>
</cp:coreProperties>
</file>